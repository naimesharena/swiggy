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Period Summary" sheetId="2" state="visible" r:id="rId2"/>
    <sheet name="Payout Breakup" sheetId="3" state="visible" r:id="rId3"/>
    <sheet name="Delivered vs Cancelled" sheetId="4" state="visible" r:id="rId4"/>
    <sheet name="Order Level (All Periods)" sheetId="5" state="visible" r:id="rId5"/>
    <sheet name="Cancelled Orders" sheetId="6" state="visible" r:id="rId6"/>
    <sheet name="Ads &amp; Adjustments" sheetId="7" state="visible" r:id="rId7"/>
    <sheet name="Discounts" sheetId="8" state="visible" r:id="rId8"/>
    <sheet name="Complaints" sheetId="9" state="visible" r:id="rId9"/>
    <sheet name="Reconciliation" sheetId="10" state="visible" r:id="rId10"/>
    <sheet name="Field Definitions" sheetId="11" state="visible" r:id="rId11"/>
  </sheets>
  <definedNames>
    <definedName name="_xlnm._FilterDatabase" localSheetId="1" hidden="1">'Period Summary'!$A$1:$V$6</definedName>
    <definedName name="_xlnm._FilterDatabase" localSheetId="4" hidden="1">'Order Level (All Periods)'!$A$1:$AF$96</definedName>
  </definedNames>
  <calcPr calcId="124519" fullCalcOnLoad="1"/>
</workbook>
</file>

<file path=xl/styles.xml><?xml version="1.0" encoding="utf-8"?>
<styleSheet xmlns="http://schemas.openxmlformats.org/spreadsheetml/2006/main">
  <numFmts count="4">
    <numFmt numFmtId="164" formatCode="yyyy-mm-dd h:mm:ss"/>
    <numFmt numFmtId="165" formatCode="dd-mmm-yyyy"/>
    <numFmt numFmtId="166" formatCode="₹#,##0.00;[Red]-₹#,##0.00"/>
    <numFmt numFmtId="167" formatCode="dd-mmm-yyyy hh:mm"/>
  </numFmts>
  <fonts count="12">
    <font>
      <name val="Calibri"/>
      <family val="2"/>
      <color theme="1"/>
      <sz val="11"/>
      <scheme val="minor"/>
    </font>
    <font>
      <b val="1"/>
      <color rgb="001F3864"/>
      <sz val="18"/>
    </font>
    <font>
      <name val="Calibri"/>
      <i val="1"/>
      <color rgb="00808080"/>
      <sz val="11"/>
    </font>
    <font>
      <name val="Calibri"/>
      <b val="1"/>
      <sz val="11"/>
    </font>
    <font>
      <name val="Calibri"/>
      <sz val="11"/>
    </font>
    <font>
      <name val="Calibri"/>
      <b val="1"/>
      <color rgb="001F3864"/>
      <sz val="11"/>
    </font>
    <font>
      <name val="Calibri"/>
      <b val="1"/>
      <color rgb="00FFFFFF"/>
      <sz val="11"/>
    </font>
    <font>
      <name val="Calibri"/>
      <i val="1"/>
      <color rgb="00808080"/>
      <sz val="9"/>
    </font>
    <font>
      <name val="Calibri"/>
      <b val="1"/>
      <color rgb="001F3864"/>
      <sz val="16"/>
    </font>
    <font>
      <i val="1"/>
      <color rgb="00808080"/>
      <sz val="10"/>
    </font>
    <font>
      <b val="1"/>
      <color rgb="001E6B33"/>
      <sz val="11"/>
    </font>
    <font>
      <b val="1"/>
      <color rgb="001F3864"/>
      <sz val="11"/>
    </font>
  </fonts>
  <fills count="8">
    <fill>
      <patternFill/>
    </fill>
    <fill>
      <patternFill patternType="gray125"/>
    </fill>
    <fill>
      <patternFill patternType="solid">
        <fgColor rgb="002E5C8A"/>
      </patternFill>
    </fill>
    <fill>
      <patternFill patternType="solid">
        <fgColor rgb="00F2F7FB"/>
      </patternFill>
    </fill>
    <fill>
      <patternFill patternType="solid">
        <fgColor rgb="00E2EFDA"/>
      </patternFill>
    </fill>
    <fill>
      <patternFill patternType="solid">
        <fgColor rgb="00DCE6F1"/>
      </patternFill>
    </fill>
    <fill>
      <patternFill patternType="solid">
        <fgColor rgb="00FFF2CC"/>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4" fillId="0" borderId="1" pivotButton="0" quotePrefix="0" xfId="0"/>
    <xf numFmtId="165" fontId="4" fillId="0" borderId="1" pivotButton="0" quotePrefix="0" xfId="0"/>
    <xf numFmtId="3" fontId="4" fillId="0" borderId="1" pivotButton="0" quotePrefix="0" xfId="0"/>
    <xf numFmtId="166" fontId="4" fillId="0" borderId="1" pivotButton="0" quotePrefix="0" xfId="0"/>
    <xf numFmtId="0" fontId="4" fillId="3" borderId="1" pivotButton="0" quotePrefix="0" xfId="0"/>
    <xf numFmtId="165" fontId="4" fillId="3" borderId="1" pivotButton="0" quotePrefix="0" xfId="0"/>
    <xf numFmtId="3" fontId="4" fillId="3" borderId="1" pivotButton="0" quotePrefix="0" xfId="0"/>
    <xf numFmtId="166" fontId="4" fillId="3" borderId="1" pivotButton="0" quotePrefix="0" xfId="0"/>
    <xf numFmtId="0" fontId="3" fillId="4" borderId="1" pivotButton="0" quotePrefix="0" xfId="0"/>
    <xf numFmtId="3" fontId="3" fillId="4" borderId="1" pivotButton="0" quotePrefix="0" xfId="0"/>
    <xf numFmtId="166" fontId="3" fillId="4" borderId="1" pivotButton="0" quotePrefix="0" xfId="0"/>
    <xf numFmtId="0" fontId="7" fillId="0" borderId="0" pivotButton="0" quotePrefix="0" xfId="0"/>
    <xf numFmtId="0" fontId="3" fillId="5" borderId="1" pivotButton="0" quotePrefix="0" xfId="0"/>
    <xf numFmtId="166" fontId="3" fillId="5" borderId="1" pivotButton="0" quotePrefix="0" xfId="0"/>
    <xf numFmtId="0" fontId="8" fillId="0" borderId="0" pivotButton="0" quotePrefix="0" xfId="0"/>
    <xf numFmtId="167" fontId="4" fillId="0" borderId="1" pivotButton="0" quotePrefix="0" xfId="0"/>
    <xf numFmtId="4" fontId="4" fillId="0" borderId="1" pivotButton="0" quotePrefix="0" xfId="0"/>
    <xf numFmtId="0" fontId="4" fillId="6" borderId="1" pivotButton="0" quotePrefix="0" xfId="0"/>
    <xf numFmtId="167" fontId="4" fillId="6" borderId="1" pivotButton="0" quotePrefix="0" xfId="0"/>
    <xf numFmtId="166" fontId="4" fillId="6" borderId="1" pivotButton="0" quotePrefix="0" xfId="0"/>
    <xf numFmtId="4" fontId="4" fillId="6" borderId="1" pivotButton="0" quotePrefix="0" xfId="0"/>
    <xf numFmtId="167" fontId="4" fillId="3" borderId="1" pivotButton="0" quotePrefix="0" xfId="0"/>
    <xf numFmtId="4" fontId="4" fillId="3" borderId="1" pivotButton="0" quotePrefix="0" xfId="0"/>
    <xf numFmtId="166" fontId="4" fillId="7" borderId="1" pivotButton="0" quotePrefix="0" xfId="0"/>
    <xf numFmtId="0" fontId="4" fillId="0" borderId="1" applyAlignment="1" pivotButton="0" quotePrefix="0" xfId="0">
      <alignment vertical="center"/>
    </xf>
    <xf numFmtId="166" fontId="4" fillId="0" borderId="1" applyAlignment="1" pivotButton="0" quotePrefix="0" xfId="0">
      <alignment vertical="center"/>
    </xf>
    <xf numFmtId="0" fontId="4" fillId="0" borderId="1" applyAlignment="1" pivotButton="0" quotePrefix="0" xfId="0">
      <alignment vertical="top" wrapText="1"/>
    </xf>
    <xf numFmtId="166" fontId="4" fillId="0" borderId="1" applyAlignment="1" pivotButton="0" quotePrefix="0" xfId="0">
      <alignment vertical="top" wrapText="1"/>
    </xf>
    <xf numFmtId="0" fontId="4" fillId="4" borderId="1" applyAlignment="1" pivotButton="0" quotePrefix="0" xfId="0">
      <alignment vertical="top" wrapText="1"/>
    </xf>
    <xf numFmtId="0" fontId="9" fillId="0" borderId="1" pivotButton="0" quotePrefix="0" xfId="0"/>
    <xf numFmtId="0" fontId="0" fillId="0" borderId="1" pivotButton="0" quotePrefix="0" xfId="0"/>
    <xf numFmtId="4" fontId="3" fillId="4" borderId="1" pivotButton="0" quotePrefix="0" xfId="0"/>
    <xf numFmtId="0" fontId="4" fillId="0" borderId="1" applyAlignment="1" pivotButton="0" quotePrefix="0" xfId="0">
      <alignment vertical="center" wrapText="1"/>
    </xf>
    <xf numFmtId="0" fontId="10" fillId="4" borderId="1" applyAlignment="1" pivotButton="0" quotePrefix="0" xfId="0">
      <alignment horizontal="center"/>
    </xf>
    <xf numFmtId="0" fontId="11" fillId="7" borderId="1" applyAlignment="1" pivotButton="0" quotePrefix="0" xfId="0">
      <alignment horizontal="center"/>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C41"/>
  <sheetViews>
    <sheetView showGridLines="0" workbookViewId="0">
      <selection activeCell="A1" sqref="A1"/>
    </sheetView>
  </sheetViews>
  <sheetFormatPr baseColWidth="8" defaultRowHeight="15"/>
  <cols>
    <col width="26" customWidth="1" min="1" max="1"/>
    <col width="24" customWidth="1" min="2" max="2"/>
    <col width="95" customWidth="1" min="3" max="3"/>
  </cols>
  <sheetData>
    <row r="2">
      <c r="B2" s="1" t="inlineStr">
        <is>
          <t>Swiggy Payout Annexures — Consolidated Report</t>
        </is>
      </c>
    </row>
    <row r="3">
      <c r="B3" s="2" t="inlineStr">
        <is>
          <t>All weekly payout cycles consolidated into a single data set</t>
        </is>
      </c>
    </row>
    <row r="6">
      <c r="B6" s="3" t="inlineStr">
        <is>
          <t>Restaurant</t>
        </is>
      </c>
      <c r="C6" s="4" t="inlineStr">
        <is>
          <t>Cheesecake Mills</t>
        </is>
      </c>
    </row>
    <row r="7">
      <c r="B7" s="3" t="inlineStr">
        <is>
          <t>Outlet / City</t>
        </is>
      </c>
      <c r="C7" s="4" t="inlineStr">
        <is>
          <t>Vesu / Surat</t>
        </is>
      </c>
    </row>
    <row r="8">
      <c r="B8" s="3" t="inlineStr">
        <is>
          <t>Swiggy Restaurant ID</t>
        </is>
      </c>
      <c r="C8" s="4" t="inlineStr">
        <is>
          <t>544662</t>
        </is>
      </c>
    </row>
    <row r="9">
      <c r="B9" s="3" t="inlineStr">
        <is>
          <t>GSTIN</t>
        </is>
      </c>
      <c r="C9" s="4" t="inlineStr">
        <is>
          <t>24AAQFC3084Q1ZT</t>
        </is>
      </c>
    </row>
    <row r="10">
      <c r="B10" s="3" t="inlineStr">
        <is>
          <t>Report period</t>
        </is>
      </c>
      <c r="C10" s="4" t="inlineStr">
        <is>
          <t>01 Sep 2026 – 30 Sep 2026</t>
        </is>
      </c>
    </row>
    <row r="11">
      <c r="B11" s="3" t="inlineStr">
        <is>
          <t>Payout cycles covered</t>
        </is>
      </c>
      <c r="C11" s="4" t="inlineStr">
        <is>
          <t>5 weekly annexures</t>
        </is>
      </c>
    </row>
    <row r="12">
      <c r="B12" s="3" t="inlineStr">
        <is>
          <t>Orders covered</t>
        </is>
      </c>
      <c r="C12" s="4" t="inlineStr">
        <is>
          <t>95.0 (92.0 delivered, 3.0 cancelled)</t>
        </is>
      </c>
    </row>
    <row r="13">
      <c r="B13" s="3" t="inlineStr">
        <is>
          <t>Gross value billed to customers</t>
        </is>
      </c>
      <c r="C13" s="4" t="inlineStr">
        <is>
          <t>₹48,548.27</t>
        </is>
      </c>
    </row>
    <row r="14">
      <c r="B14" s="3" t="inlineStr">
        <is>
          <t>Net payouts credited by Swiggy</t>
        </is>
      </c>
      <c r="C14" s="4" t="inlineStr">
        <is>
          <t>₹30,139.91</t>
        </is>
      </c>
    </row>
    <row r="15">
      <c r="B15" s="3" t="inlineStr">
        <is>
          <t>Prepared on</t>
        </is>
      </c>
      <c r="C15" s="4" t="inlineStr">
        <is>
          <t>05 October 2026</t>
        </is>
      </c>
    </row>
    <row r="17">
      <c r="B17" s="3" t="inlineStr">
        <is>
          <t>Source files</t>
        </is>
      </c>
      <c r="C17" s="4" t="inlineStr"/>
    </row>
    <row r="18">
      <c r="C18" s="4" t="inlineStr">
        <is>
          <t>invoice_Annexure_544662_09092026_1788952060819.xlsx   (payout period: 01 September - 05 September)</t>
        </is>
      </c>
    </row>
    <row r="19">
      <c r="C19" s="4" t="inlineStr">
        <is>
          <t>invoice_Annexure_544662_16092026_1789552968819.xlsx   (payout period: 06 September - 12 September)</t>
        </is>
      </c>
    </row>
    <row r="20">
      <c r="C20" s="4" t="inlineStr">
        <is>
          <t>invoice_Annexure_544662_23092026_1790175033489.xlsx   (payout period: 13 September - 19 September)</t>
        </is>
      </c>
    </row>
    <row r="21">
      <c r="C21" s="4" t="inlineStr">
        <is>
          <t>invoice_Annexure_544662_01102026_1790849827939.xlsx   (payout period: 20 September - 26 September)</t>
        </is>
      </c>
    </row>
    <row r="22">
      <c r="C22" s="4" t="inlineStr">
        <is>
          <t>invoice_Annexure_544662_03102026_1791048772206.xlsx   (payout period: 27 September - 30 September)</t>
        </is>
      </c>
    </row>
    <row r="24">
      <c r="B24" s="5" t="inlineStr">
        <is>
          <t>What is in this workbook</t>
        </is>
      </c>
    </row>
    <row r="25" ht="30" customHeight="1">
      <c r="A25" s="6" t="inlineStr">
        <is>
          <t>Sheet</t>
        </is>
      </c>
      <c r="B25" s="6" t="inlineStr">
        <is>
          <t>Contents</t>
        </is>
      </c>
    </row>
    <row r="26">
      <c r="A26" s="3" t="inlineStr">
        <is>
          <t>Period Summary</t>
        </is>
      </c>
      <c r="B26" s="4" t="inlineStr">
        <is>
          <t>One line per payout cycle — orders, sales, fees, taxes and net payout, with grand totals.</t>
        </is>
      </c>
    </row>
    <row r="27">
      <c r="A27" s="3" t="inlineStr">
        <is>
          <t>Payout Breakup</t>
        </is>
      </c>
      <c r="B27" s="4" t="inlineStr">
        <is>
          <t>The full Swiggy payout-breakup line structure (A to G) shown side by side for every cycle.</t>
        </is>
      </c>
    </row>
    <row r="28">
      <c r="A28" s="3" t="inlineStr">
        <is>
          <t>Delivered vs Cancelled</t>
        </is>
      </c>
      <c r="B28" s="4" t="inlineStr">
        <is>
          <t>How each cycle's net payout splits between delivered orders, cancelled orders and ads.</t>
        </is>
      </c>
    </row>
    <row r="29">
      <c r="A29" s="3" t="inlineStr">
        <is>
          <t>Cancelled Orders</t>
        </is>
      </c>
      <c r="B29" s="4" t="inlineStr">
        <is>
          <t>The 80% cancellation-compensation policy and the GST/TDS effect of each cancelled order.</t>
        </is>
      </c>
    </row>
    <row r="30">
      <c r="A30" s="3" t="inlineStr">
        <is>
          <t>Order Level (All Periods)</t>
        </is>
      </c>
      <c r="B30" s="4" t="inlineStr">
        <is>
          <t>Every order from all annexures in one filterable table, tagged with its payout cycle.</t>
        </is>
      </c>
    </row>
    <row r="31">
      <c r="A31" s="3" t="inlineStr">
        <is>
          <t>Ads &amp; Adjustments</t>
        </is>
      </c>
      <c r="B31" s="4" t="inlineStr">
        <is>
          <t>Restaurant-level growth investments / adjustments deducted outside order-level data.</t>
        </is>
      </c>
    </row>
    <row r="32">
      <c r="A32" s="3" t="inlineStr">
        <is>
          <t>Discounts</t>
        </is>
      </c>
      <c r="B32" s="4" t="inlineStr">
        <is>
          <t>Discount campaigns reported by Swiggy for each cycle.</t>
        </is>
      </c>
    </row>
    <row r="33">
      <c r="A33" s="3" t="inlineStr">
        <is>
          <t>Complaints</t>
        </is>
      </c>
      <c r="B33" s="4" t="inlineStr">
        <is>
          <t>Unresolved customer complaint buckets reported by Swiggy.</t>
        </is>
      </c>
    </row>
    <row r="34">
      <c r="A34" s="3" t="inlineStr">
        <is>
          <t>Reconciliation</t>
        </is>
      </c>
      <c r="B34" s="4" t="inlineStr">
        <is>
          <t>70+ automated tie-out checks across every internal total and cross-sheet total, with exceptions flagged.</t>
        </is>
      </c>
    </row>
    <row r="35">
      <c r="A35" s="3" t="inlineStr">
        <is>
          <t>Field Definitions</t>
        </is>
      </c>
      <c r="B35" s="4" t="inlineStr">
        <is>
          <t>Definition of every field used in the Order Level section.</t>
        </is>
      </c>
    </row>
    <row r="37">
      <c r="A37" s="5" t="inlineStr">
        <is>
          <t>Basis of preparation</t>
        </is>
      </c>
    </row>
    <row r="38">
      <c r="A38" s="4" t="inlineStr">
        <is>
          <t>•  All figures are reproduced from the Swiggy weekly payout annexures (the source of truth). Nothing has been re-estimated.</t>
        </is>
      </c>
    </row>
    <row r="39">
      <c r="A39" s="4" t="inlineStr">
        <is>
          <t>•  No orders or rows have been dropped; duplicate Order IDs across cycles are checked on the Reconciliation sheet.</t>
        </is>
      </c>
    </row>
    <row r="40">
      <c r="A40" s="4" t="inlineStr">
        <is>
          <t>•  'Net payout' is the amount settled by Swiggy after commission, payment-collection charges, ad investments, GST and TDS.</t>
        </is>
      </c>
    </row>
    <row r="41">
      <c r="A41" s="4" t="inlineStr">
        <is>
          <t>•  GST on Swiggy's service fee is a charge recovered from the restaurant, not a tax on the food supply — see the GST working.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2" customWidth="1" min="3" max="3"/>
    <col width="14" customWidth="1" min="4" max="4"/>
    <col width="20" customWidth="1" min="5" max="5"/>
    <col width="11" customWidth="1" min="6" max="6"/>
    <col width="11" customWidth="1" min="7" max="7"/>
    <col width="10" customWidth="1" min="8" max="8"/>
    <col width="16" customWidth="1" min="9" max="9"/>
    <col width="18" customWidth="1" min="10" max="10"/>
    <col width="18" customWidth="1" min="11" max="11"/>
    <col width="14" customWidth="1" min="12" max="12"/>
    <col width="13" customWidth="1" min="13" max="13"/>
    <col width="14" customWidth="1" min="14" max="14"/>
    <col width="16" customWidth="1" min="15" max="15"/>
    <col width="13" customWidth="1" min="16" max="16"/>
    <col width="15" customWidth="1" min="17" max="17"/>
    <col width="15" customWidth="1" min="18" max="18"/>
    <col width="10" customWidth="1" min="19" max="19"/>
    <col width="12" customWidth="1" min="20" max="20"/>
    <col width="14" customWidth="1" min="21" max="21"/>
    <col width="46" customWidth="1" min="22" max="22"/>
  </cols>
  <sheetData>
    <row r="1" ht="30" customHeight="1">
      <c r="A1" s="6" t="inlineStr">
        <is>
          <t>Payout period</t>
        </is>
      </c>
      <c r="B1" s="6" t="inlineStr">
        <is>
          <t>From</t>
        </is>
      </c>
      <c r="C1" s="6" t="inlineStr">
        <is>
          <t>To</t>
        </is>
      </c>
      <c r="D1" s="6" t="inlineStr">
        <is>
          <t>Settlement date</t>
        </is>
      </c>
      <c r="E1" s="6" t="inlineStr">
        <is>
          <t>Bank UTR</t>
        </is>
      </c>
      <c r="F1" s="6" t="inlineStr">
        <is>
          <t>Delivered orders</t>
        </is>
      </c>
      <c r="G1" s="6" t="inlineStr">
        <is>
          <t>Cancelled orders</t>
        </is>
      </c>
      <c r="H1" s="6" t="inlineStr">
        <is>
          <t>Total orders</t>
        </is>
      </c>
      <c r="I1" s="6" t="inlineStr">
        <is>
          <t>Total customer paid</t>
        </is>
      </c>
      <c r="J1" s="6" t="inlineStr">
        <is>
          <t>Billed value (item total + packaging − discounts)</t>
        </is>
      </c>
      <c r="K1" s="6" t="inlineStr">
        <is>
          <t>GST-reportable value (after cancellation adjustment)</t>
        </is>
      </c>
      <c r="L1" s="6" t="inlineStr">
        <is>
          <t>GST collected @5%</t>
        </is>
      </c>
      <c r="M1" s="6" t="inlineStr">
        <is>
          <t>Commission</t>
        </is>
      </c>
      <c r="N1" s="6" t="inlineStr">
        <is>
          <t>Payment collection charges</t>
        </is>
      </c>
      <c r="O1" s="6" t="inlineStr">
        <is>
          <t>Swiggy fees (excl. GST on fees)</t>
        </is>
      </c>
      <c r="P1" s="6" t="inlineStr">
        <is>
          <t>Ads investment</t>
        </is>
      </c>
      <c r="Q1" s="6" t="inlineStr">
        <is>
          <t>GST retained u/s 9(5)</t>
        </is>
      </c>
      <c r="R1" s="6" t="inlineStr">
        <is>
          <t>GST on Swiggy fees @18%</t>
        </is>
      </c>
      <c r="S1" s="6" t="inlineStr">
        <is>
          <t>TCS u/s 52</t>
        </is>
      </c>
      <c r="T1" s="6" t="inlineStr">
        <is>
          <t>TDS u/s 194-O</t>
        </is>
      </c>
      <c r="U1" s="6" t="inlineStr">
        <is>
          <t>Net payout</t>
        </is>
      </c>
      <c r="V1" s="6" t="inlineStr">
        <is>
          <t>Annexure file</t>
        </is>
      </c>
    </row>
    <row r="2">
      <c r="A2" s="7" t="inlineStr">
        <is>
          <t>01 – 05 Sep</t>
        </is>
      </c>
      <c r="B2" s="8" t="n">
        <v>46266</v>
      </c>
      <c r="C2" s="8" t="n">
        <v>46270</v>
      </c>
      <c r="D2" s="7" t="inlineStr">
        <is>
          <t>08 September</t>
        </is>
      </c>
      <c r="E2" s="7" t="inlineStr">
        <is>
          <t>AXISCN1461967606</t>
        </is>
      </c>
      <c r="F2" s="9" t="n">
        <v>18</v>
      </c>
      <c r="G2" s="9" t="n">
        <v>1</v>
      </c>
      <c r="H2" s="9" t="n">
        <v>19</v>
      </c>
      <c r="I2" s="10" t="n">
        <v>11007.2</v>
      </c>
      <c r="J2" s="10" t="n">
        <v>10483</v>
      </c>
      <c r="K2" s="10" t="n">
        <v>10365</v>
      </c>
      <c r="L2" s="10" t="n">
        <v>524.2</v>
      </c>
      <c r="M2" s="10" t="n">
        <v>2611.98</v>
      </c>
      <c r="N2" s="10" t="n">
        <v>217.67</v>
      </c>
      <c r="O2" s="10" t="n">
        <v>2829.65</v>
      </c>
      <c r="P2" s="10" t="n">
        <v>170.21</v>
      </c>
      <c r="Q2" s="10" t="n">
        <v>518.25</v>
      </c>
      <c r="R2" s="10" t="n">
        <v>509.38</v>
      </c>
      <c r="S2" s="10" t="n">
        <v>0</v>
      </c>
      <c r="T2" s="10" t="n">
        <v>10.37</v>
      </c>
      <c r="U2" s="10" t="n">
        <v>6845.46</v>
      </c>
      <c r="V2" s="7" t="inlineStr">
        <is>
          <t>invoice_Annexure_544662_09092026_1788952060819.xlsx</t>
        </is>
      </c>
    </row>
    <row r="3">
      <c r="A3" s="11" t="inlineStr">
        <is>
          <t>06 – 12 Sep</t>
        </is>
      </c>
      <c r="B3" s="12" t="n">
        <v>46271</v>
      </c>
      <c r="C3" s="12" t="n">
        <v>46277</v>
      </c>
      <c r="D3" s="11" t="inlineStr">
        <is>
          <t>15 September</t>
        </is>
      </c>
      <c r="E3" s="11" t="inlineStr">
        <is>
          <t>AXISCN1468786471</t>
        </is>
      </c>
      <c r="F3" s="13" t="n">
        <v>24</v>
      </c>
      <c r="G3" s="13" t="n">
        <v>1</v>
      </c>
      <c r="H3" s="13" t="n">
        <v>25</v>
      </c>
      <c r="I3" s="14" t="n">
        <v>12017.28</v>
      </c>
      <c r="J3" s="14" t="n">
        <v>11445</v>
      </c>
      <c r="K3" s="14" t="n">
        <v>11445</v>
      </c>
      <c r="L3" s="14" t="n">
        <v>572.28</v>
      </c>
      <c r="M3" s="14" t="n">
        <v>2884.14</v>
      </c>
      <c r="N3" s="14" t="n">
        <v>240.35</v>
      </c>
      <c r="O3" s="14" t="n">
        <v>3206.99</v>
      </c>
      <c r="P3" s="14" t="n">
        <v>170.21</v>
      </c>
      <c r="Q3" s="14" t="n">
        <v>572.25</v>
      </c>
      <c r="R3" s="14" t="n">
        <v>577.24</v>
      </c>
      <c r="S3" s="14" t="n">
        <v>0</v>
      </c>
      <c r="T3" s="14" t="n">
        <v>11.46</v>
      </c>
      <c r="U3" s="14" t="n">
        <v>7479.09</v>
      </c>
      <c r="V3" s="11" t="inlineStr">
        <is>
          <t>invoice_Annexure_544662_16092026_1789552968819.xlsx</t>
        </is>
      </c>
    </row>
    <row r="4">
      <c r="A4" s="7" t="inlineStr">
        <is>
          <t>13 – 19 Sep</t>
        </is>
      </c>
      <c r="B4" s="8" t="n">
        <v>46278</v>
      </c>
      <c r="C4" s="8" t="n">
        <v>46284</v>
      </c>
      <c r="D4" s="7" t="inlineStr">
        <is>
          <t>22 September</t>
        </is>
      </c>
      <c r="E4" s="7" t="inlineStr">
        <is>
          <t>AXISCN1476946549</t>
        </is>
      </c>
      <c r="F4" s="9" t="n">
        <v>23</v>
      </c>
      <c r="G4" s="9" t="n">
        <v>1</v>
      </c>
      <c r="H4" s="9" t="n">
        <v>24</v>
      </c>
      <c r="I4" s="10" t="n">
        <v>13172.28</v>
      </c>
      <c r="J4" s="10" t="n">
        <v>12545</v>
      </c>
      <c r="K4" s="10" t="n">
        <v>12545</v>
      </c>
      <c r="L4" s="10" t="n">
        <v>627.28</v>
      </c>
      <c r="M4" s="10" t="n">
        <v>3161.34</v>
      </c>
      <c r="N4" s="10" t="n">
        <v>263.44</v>
      </c>
      <c r="O4" s="10" t="n">
        <v>3677.03</v>
      </c>
      <c r="P4" s="10" t="n">
        <v>170.21</v>
      </c>
      <c r="Q4" s="10" t="n">
        <v>627.25</v>
      </c>
      <c r="R4" s="10" t="n">
        <v>661.96</v>
      </c>
      <c r="S4" s="10" t="n">
        <v>0</v>
      </c>
      <c r="T4" s="10" t="n">
        <v>12.54</v>
      </c>
      <c r="U4" s="10" t="n">
        <v>8023.46</v>
      </c>
      <c r="V4" s="7" t="inlineStr">
        <is>
          <t>invoice_Annexure_544662_23092026_1790175033489.xlsx</t>
        </is>
      </c>
    </row>
    <row r="5">
      <c r="A5" s="11" t="inlineStr">
        <is>
          <t>20 – 26 Sep</t>
        </is>
      </c>
      <c r="B5" s="12" t="n">
        <v>46285</v>
      </c>
      <c r="C5" s="12" t="n">
        <v>46291</v>
      </c>
      <c r="D5" s="11" t="inlineStr">
        <is>
          <t>29 September</t>
        </is>
      </c>
      <c r="E5" s="11" t="inlineStr">
        <is>
          <t>AXISCN1484601503</t>
        </is>
      </c>
      <c r="F5" s="13" t="n">
        <v>10</v>
      </c>
      <c r="G5" s="13" t="n">
        <v>0</v>
      </c>
      <c r="H5" s="13" t="n">
        <v>10</v>
      </c>
      <c r="I5" s="14" t="n">
        <v>4875.51</v>
      </c>
      <c r="J5" s="14" t="n">
        <v>4643.33</v>
      </c>
      <c r="K5" s="14" t="n">
        <v>4643.33</v>
      </c>
      <c r="L5" s="14" t="n">
        <v>232.18</v>
      </c>
      <c r="M5" s="14" t="n">
        <v>1170.12</v>
      </c>
      <c r="N5" s="14" t="n">
        <v>97.51000000000001</v>
      </c>
      <c r="O5" s="14" t="n">
        <v>1267.63</v>
      </c>
      <c r="P5" s="14" t="n">
        <v>170.21</v>
      </c>
      <c r="Q5" s="14" t="n">
        <v>232.17</v>
      </c>
      <c r="R5" s="14" t="n">
        <v>228.18</v>
      </c>
      <c r="S5" s="14" t="n">
        <v>0</v>
      </c>
      <c r="T5" s="14" t="n">
        <v>4.65</v>
      </c>
      <c r="U5" s="14" t="n">
        <v>2972.66</v>
      </c>
      <c r="V5" s="11" t="inlineStr">
        <is>
          <t>invoice_Annexure_544662_01102026_1790849827939.xlsx</t>
        </is>
      </c>
    </row>
    <row r="6">
      <c r="A6" s="7" t="inlineStr">
        <is>
          <t>27 – 30 Sep</t>
        </is>
      </c>
      <c r="B6" s="8" t="n">
        <v>46292</v>
      </c>
      <c r="C6" s="8" t="n">
        <v>46295</v>
      </c>
      <c r="D6" s="7" t="inlineStr">
        <is>
          <t>03 October</t>
        </is>
      </c>
      <c r="E6" s="7" t="inlineStr">
        <is>
          <t>AXISCN1486762140</t>
        </is>
      </c>
      <c r="F6" s="9" t="n">
        <v>17</v>
      </c>
      <c r="G6" s="9" t="n">
        <v>0</v>
      </c>
      <c r="H6" s="9" t="n">
        <v>17</v>
      </c>
      <c r="I6" s="10" t="n">
        <v>7476</v>
      </c>
      <c r="J6" s="10" t="n">
        <v>7120</v>
      </c>
      <c r="K6" s="10" t="n">
        <v>7120</v>
      </c>
      <c r="L6" s="10" t="n">
        <v>356</v>
      </c>
      <c r="M6" s="10" t="n">
        <v>1794.24</v>
      </c>
      <c r="N6" s="10" t="n">
        <v>149.52</v>
      </c>
      <c r="O6" s="10" t="n">
        <v>1943.76</v>
      </c>
      <c r="P6" s="10" t="n">
        <v>0</v>
      </c>
      <c r="Q6" s="10" t="n">
        <v>356</v>
      </c>
      <c r="R6" s="10" t="n">
        <v>349.88</v>
      </c>
      <c r="S6" s="10" t="n">
        <v>0</v>
      </c>
      <c r="T6" s="10" t="n">
        <v>7.12</v>
      </c>
      <c r="U6" s="10" t="n">
        <v>4819.24</v>
      </c>
      <c r="V6" s="7" t="inlineStr">
        <is>
          <t>invoice_Annexure_544662_03102026_1791048772206.xlsx</t>
        </is>
      </c>
    </row>
    <row r="7">
      <c r="A7" s="15" t="inlineStr">
        <is>
          <t>TOTAL</t>
        </is>
      </c>
      <c r="B7" s="15" t="n"/>
      <c r="C7" s="15" t="n"/>
      <c r="D7" s="15" t="n"/>
      <c r="E7" s="15" t="n"/>
      <c r="F7" s="16" t="n">
        <v>92</v>
      </c>
      <c r="G7" s="16" t="n">
        <v>3</v>
      </c>
      <c r="H7" s="16" t="n">
        <v>95</v>
      </c>
      <c r="I7" s="17" t="n">
        <v>48548.27</v>
      </c>
      <c r="J7" s="17" t="n">
        <v>46236.33</v>
      </c>
      <c r="K7" s="17" t="n">
        <v>46118.33</v>
      </c>
      <c r="L7" s="17" t="n">
        <v>2311.94</v>
      </c>
      <c r="M7" s="17" t="n">
        <v>11621.82</v>
      </c>
      <c r="N7" s="17" t="n">
        <v>968.49</v>
      </c>
      <c r="O7" s="17" t="n">
        <v>12925.06</v>
      </c>
      <c r="P7" s="17" t="n">
        <v>680.84</v>
      </c>
      <c r="Q7" s="17" t="n">
        <v>2305.92</v>
      </c>
      <c r="R7" s="17" t="n">
        <v>2326.64</v>
      </c>
      <c r="S7" s="17" t="n">
        <v>0</v>
      </c>
      <c r="T7" s="17" t="n">
        <v>46.14</v>
      </c>
      <c r="U7" s="17" t="n">
        <v>30139.91</v>
      </c>
      <c r="V7" s="15" t="inlineStr">
        <is>
          <t>5 annexures</t>
        </is>
      </c>
    </row>
    <row r="9">
      <c r="A9" s="18" t="inlineStr">
        <is>
          <t>Totals = the five annexure(s) covering 01 Sep – 30 Sep 2026. Settlement dates are as printed on each annexure. Deduction lines (commission, charges, ads, GST, TDS) are shown here as positive amounts for readability — the annexures print them as negative; see the Payout Breakup sheet for the original signs.</t>
        </is>
      </c>
    </row>
  </sheetData>
  <autoFilter ref="A1:V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58" customWidth="1" min="2" max="2"/>
    <col width="14" customWidth="1" min="3" max="3"/>
    <col width="14" customWidth="1" min="4" max="4"/>
    <col width="14" customWidth="1" min="5" max="5"/>
    <col width="14" customWidth="1" min="6" max="6"/>
    <col width="14" customWidth="1" min="7" max="7"/>
    <col width="14" customWidth="1" min="8" max="8"/>
  </cols>
  <sheetData>
    <row r="1" ht="30" customHeight="1">
      <c r="A1" s="6" t="inlineStr">
        <is>
          <t>Line</t>
        </is>
      </c>
      <c r="B1" s="6" t="inlineStr">
        <is>
          <t>Particulars</t>
        </is>
      </c>
      <c r="C1" s="6" t="inlineStr">
        <is>
          <t>01 – 05 Sep</t>
        </is>
      </c>
      <c r="D1" s="6" t="inlineStr">
        <is>
          <t>06 – 12 Sep</t>
        </is>
      </c>
      <c r="E1" s="6" t="inlineStr">
        <is>
          <t>13 – 19 Sep</t>
        </is>
      </c>
      <c r="F1" s="6" t="inlineStr">
        <is>
          <t>20 – 26 Sep</t>
        </is>
      </c>
      <c r="G1" s="6" t="inlineStr">
        <is>
          <t>27 – 30 Sep</t>
        </is>
      </c>
      <c r="H1" s="6" t="inlineStr">
        <is>
          <t>Total</t>
        </is>
      </c>
    </row>
    <row r="2">
      <c r="A2" s="19" t="inlineStr">
        <is>
          <t>A</t>
        </is>
      </c>
      <c r="B2" s="19" t="inlineStr">
        <is>
          <t>Total Customer Paid [1+2-3-4+5]</t>
        </is>
      </c>
      <c r="C2" s="20" t="n">
        <v>11007.2</v>
      </c>
      <c r="D2" s="20" t="n">
        <v>12017.28</v>
      </c>
      <c r="E2" s="20" t="n">
        <v>13172.28</v>
      </c>
      <c r="F2" s="20" t="n">
        <v>4875.51</v>
      </c>
      <c r="G2" s="20" t="n">
        <v>7476</v>
      </c>
      <c r="H2" s="20" t="n">
        <v>48548.27</v>
      </c>
    </row>
    <row r="3">
      <c r="A3" s="11" t="inlineStr"/>
      <c r="B3" s="11" t="inlineStr">
        <is>
          <t xml:space="preserve">      Item Total</t>
        </is>
      </c>
      <c r="C3" s="14" t="n">
        <v>10483</v>
      </c>
      <c r="D3" s="14" t="n">
        <v>11445</v>
      </c>
      <c r="E3" s="14" t="n">
        <v>12545</v>
      </c>
      <c r="F3" s="14" t="n">
        <v>4643.33</v>
      </c>
      <c r="G3" s="14" t="n">
        <v>7120</v>
      </c>
      <c r="H3" s="14" t="n">
        <v>46236.33</v>
      </c>
    </row>
    <row r="4">
      <c r="A4" s="11" t="inlineStr"/>
      <c r="B4" s="11" t="inlineStr">
        <is>
          <t xml:space="preserve">      Packaging Charges</t>
        </is>
      </c>
      <c r="C4" s="14" t="n">
        <v>0</v>
      </c>
      <c r="D4" s="14" t="n">
        <v>0</v>
      </c>
      <c r="E4" s="14" t="n">
        <v>0</v>
      </c>
      <c r="F4" s="14" t="n">
        <v>0</v>
      </c>
      <c r="G4" s="14" t="n">
        <v>0</v>
      </c>
      <c r="H4" s="14" t="n">
        <v>0</v>
      </c>
    </row>
    <row r="5">
      <c r="A5" s="11" t="inlineStr"/>
      <c r="B5" s="11" t="inlineStr">
        <is>
          <t xml:space="preserve">      Restaurant Discounts (Coupon based)</t>
        </is>
      </c>
      <c r="C5" s="14" t="n">
        <v>0</v>
      </c>
      <c r="D5" s="14" t="n">
        <v>0</v>
      </c>
      <c r="E5" s="14" t="n">
        <v>0</v>
      </c>
      <c r="F5" s="14" t="n">
        <v>0</v>
      </c>
      <c r="G5" s="14" t="n">
        <v>0</v>
      </c>
      <c r="H5" s="14" t="n">
        <v>0</v>
      </c>
    </row>
    <row r="6">
      <c r="A6" s="11" t="inlineStr"/>
      <c r="B6" s="11" t="inlineStr">
        <is>
          <t xml:space="preserve">      Restaurant Discounts (Trade Discounts, Freebies and others)</t>
        </is>
      </c>
      <c r="C6" s="14" t="n">
        <v>0</v>
      </c>
      <c r="D6" s="14" t="n">
        <v>0</v>
      </c>
      <c r="E6" s="14" t="n">
        <v>0</v>
      </c>
      <c r="F6" s="14" t="n">
        <v>0</v>
      </c>
      <c r="G6" s="14" t="n">
        <v>0</v>
      </c>
      <c r="H6" s="14" t="n">
        <v>0</v>
      </c>
    </row>
    <row r="7">
      <c r="A7" s="11" t="inlineStr"/>
      <c r="B7" s="11" t="inlineStr">
        <is>
          <t xml:space="preserve">      GST Collected</t>
        </is>
      </c>
      <c r="C7" s="14" t="n">
        <v>524.2</v>
      </c>
      <c r="D7" s="14" t="n">
        <v>572.28</v>
      </c>
      <c r="E7" s="14" t="n">
        <v>627.28</v>
      </c>
      <c r="F7" s="14" t="n">
        <v>232.18</v>
      </c>
      <c r="G7" s="14" t="n">
        <v>356</v>
      </c>
      <c r="H7" s="14" t="n">
        <v>2311.94</v>
      </c>
    </row>
    <row r="8">
      <c r="A8" s="19" t="inlineStr">
        <is>
          <t>B</t>
        </is>
      </c>
      <c r="B8" s="19" t="inlineStr">
        <is>
          <t>Swiggy Fees [6+7+8+9+10+11+12+13+14+15]</t>
        </is>
      </c>
      <c r="C8" s="20" t="n">
        <v>-2829.65</v>
      </c>
      <c r="D8" s="20" t="n">
        <v>-3206.99</v>
      </c>
      <c r="E8" s="20" t="n">
        <v>-3677.03</v>
      </c>
      <c r="F8" s="20" t="n">
        <v>-1267.63</v>
      </c>
      <c r="G8" s="20" t="n">
        <v>-1943.76</v>
      </c>
      <c r="H8" s="20" t="n">
        <v>-12925.06</v>
      </c>
    </row>
    <row r="9">
      <c r="A9" s="11" t="inlineStr"/>
      <c r="B9" s="11" t="inlineStr">
        <is>
          <t xml:space="preserve">      Commission</t>
        </is>
      </c>
      <c r="C9" s="14" t="n">
        <v>-2611.98</v>
      </c>
      <c r="D9" s="14" t="n">
        <v>-2884.14</v>
      </c>
      <c r="E9" s="14" t="n">
        <v>-3161.34</v>
      </c>
      <c r="F9" s="14" t="n">
        <v>-1170.12</v>
      </c>
      <c r="G9" s="14" t="n">
        <v>-1794.24</v>
      </c>
      <c r="H9" s="14" t="n">
        <v>-11621.82</v>
      </c>
    </row>
    <row r="10">
      <c r="A10" s="11" t="inlineStr"/>
      <c r="B10" s="11" t="inlineStr">
        <is>
          <t xml:space="preserve">      Long Distance Charges</t>
        </is>
      </c>
      <c r="C10" s="14" t="n">
        <v>0</v>
      </c>
      <c r="D10" s="14" t="n">
        <v>0</v>
      </c>
      <c r="E10" s="14" t="n">
        <v>0</v>
      </c>
      <c r="F10" s="14" t="n">
        <v>0</v>
      </c>
      <c r="G10" s="14" t="n">
        <v>0</v>
      </c>
      <c r="H10" s="14" t="n">
        <v>0</v>
      </c>
    </row>
    <row r="11">
      <c r="A11" s="11" t="inlineStr"/>
      <c r="B11" s="11" t="inlineStr">
        <is>
          <t xml:space="preserve">      Payment Collection Charges</t>
        </is>
      </c>
      <c r="C11" s="14" t="n">
        <v>-217.67</v>
      </c>
      <c r="D11" s="14" t="n">
        <v>-240.35</v>
      </c>
      <c r="E11" s="14" t="n">
        <v>-263.44</v>
      </c>
      <c r="F11" s="14" t="n">
        <v>-97.51000000000001</v>
      </c>
      <c r="G11" s="14" t="n">
        <v>-149.52</v>
      </c>
      <c r="H11" s="14" t="n">
        <v>-968.49</v>
      </c>
    </row>
    <row r="12">
      <c r="A12" s="11" t="inlineStr"/>
      <c r="B12" s="11" t="inlineStr">
        <is>
          <t xml:space="preserve">      Pocket Hero Fees</t>
        </is>
      </c>
      <c r="C12" s="14" t="n">
        <v>0</v>
      </c>
      <c r="D12" s="14" t="n">
        <v>0</v>
      </c>
      <c r="E12" s="14" t="n">
        <v>0</v>
      </c>
      <c r="F12" s="14" t="n">
        <v>0</v>
      </c>
      <c r="G12" s="14" t="n">
        <v>0</v>
      </c>
      <c r="H12" s="14" t="n">
        <v>0</v>
      </c>
    </row>
    <row r="13">
      <c r="A13" s="11" t="inlineStr"/>
      <c r="B13" s="11" t="inlineStr">
        <is>
          <t xml:space="preserve">      Swiggy One Fees</t>
        </is>
      </c>
      <c r="C13" s="14" t="n">
        <v>0</v>
      </c>
      <c r="D13" s="14" t="n">
        <v>0</v>
      </c>
      <c r="E13" s="14" t="n">
        <v>0</v>
      </c>
      <c r="F13" s="14" t="n">
        <v>0</v>
      </c>
      <c r="G13" s="14" t="n">
        <v>0</v>
      </c>
      <c r="H13" s="14" t="n">
        <v>0</v>
      </c>
    </row>
    <row r="14">
      <c r="A14" s="11" t="inlineStr"/>
      <c r="B14" s="11" t="inlineStr">
        <is>
          <t xml:space="preserve">      Restaurant Cancellation Charges</t>
        </is>
      </c>
      <c r="C14" s="14" t="n">
        <v>0</v>
      </c>
      <c r="D14" s="14" t="n">
        <v>-82.5</v>
      </c>
      <c r="E14" s="14" t="n">
        <v>-252.25</v>
      </c>
      <c r="F14" s="14" t="n">
        <v>0</v>
      </c>
      <c r="G14" s="14" t="n">
        <v>0</v>
      </c>
      <c r="H14" s="14" t="n">
        <v>-334.75</v>
      </c>
    </row>
    <row r="15">
      <c r="A15" s="11" t="inlineStr"/>
      <c r="B15" s="11" t="inlineStr">
        <is>
          <t xml:space="preserve">      Call Center Charges</t>
        </is>
      </c>
      <c r="C15" s="14" t="n">
        <v>0</v>
      </c>
      <c r="D15" s="14" t="n">
        <v>0</v>
      </c>
      <c r="E15" s="14" t="n">
        <v>0</v>
      </c>
      <c r="F15" s="14" t="n">
        <v>0</v>
      </c>
      <c r="G15" s="14" t="n">
        <v>0</v>
      </c>
      <c r="H15" s="14" t="n">
        <v>0</v>
      </c>
    </row>
    <row r="16">
      <c r="A16" s="11" t="inlineStr"/>
      <c r="B16" s="11" t="inlineStr">
        <is>
          <t xml:space="preserve">      Delivery Fee sponsored by Restaurant</t>
        </is>
      </c>
      <c r="C16" s="14" t="n">
        <v>0</v>
      </c>
      <c r="D16" s="14" t="n">
        <v>0</v>
      </c>
      <c r="E16" s="14" t="n">
        <v>0</v>
      </c>
      <c r="F16" s="14" t="n">
        <v>0</v>
      </c>
      <c r="G16" s="14" t="n">
        <v>0</v>
      </c>
      <c r="H16" s="14" t="n">
        <v>0</v>
      </c>
    </row>
    <row r="17">
      <c r="A17" s="11" t="inlineStr"/>
      <c r="B17" s="11" t="inlineStr">
        <is>
          <t xml:space="preserve">      Bolt Fees</t>
        </is>
      </c>
      <c r="C17" s="14" t="n">
        <v>0</v>
      </c>
      <c r="D17" s="14" t="n">
        <v>0</v>
      </c>
      <c r="E17" s="14" t="n">
        <v>0</v>
      </c>
      <c r="F17" s="14" t="n">
        <v>0</v>
      </c>
      <c r="G17" s="14" t="n">
        <v>0</v>
      </c>
      <c r="H17" s="14" t="n">
        <v>0</v>
      </c>
    </row>
    <row r="18">
      <c r="A18" s="11" t="inlineStr"/>
      <c r="B18" s="11" t="inlineStr">
        <is>
          <t xml:space="preserve">      No Fees Week - Cashback</t>
        </is>
      </c>
      <c r="C18" s="14" t="n">
        <v>0</v>
      </c>
      <c r="D18" s="14" t="n">
        <v>0</v>
      </c>
      <c r="E18" s="14" t="n">
        <v>0</v>
      </c>
      <c r="F18" s="14" t="n">
        <v>0</v>
      </c>
      <c r="G18" s="14" t="n">
        <v>0</v>
      </c>
      <c r="H18" s="14" t="n">
        <v>0</v>
      </c>
    </row>
    <row r="19">
      <c r="A19" s="19" t="inlineStr">
        <is>
          <t>C</t>
        </is>
      </c>
      <c r="B19" s="19" t="inlineStr">
        <is>
          <t>Customer Complaints &amp; Cancellation Charges [16+17]</t>
        </is>
      </c>
      <c r="C19" s="20" t="n">
        <v>-123.9</v>
      </c>
      <c r="D19" s="20" t="n">
        <v>0</v>
      </c>
      <c r="E19" s="20" t="n">
        <v>0</v>
      </c>
      <c r="F19" s="20" t="n">
        <v>0</v>
      </c>
      <c r="G19" s="20" t="n">
        <v>0</v>
      </c>
      <c r="H19" s="20" t="n">
        <v>-123.9</v>
      </c>
    </row>
    <row r="20">
      <c r="A20" s="11" t="inlineStr"/>
      <c r="B20" s="11" t="inlineStr">
        <is>
          <t xml:space="preserve">      Merchant Share Of Cancelled Orders</t>
        </is>
      </c>
      <c r="C20" s="14" t="n">
        <v>-123.9</v>
      </c>
      <c r="D20" s="14" t="n">
        <v>0</v>
      </c>
      <c r="E20" s="14" t="n">
        <v>0</v>
      </c>
      <c r="F20" s="14" t="n">
        <v>0</v>
      </c>
      <c r="G20" s="14" t="n">
        <v>0</v>
      </c>
      <c r="H20" s="14" t="n">
        <v>-123.9</v>
      </c>
    </row>
    <row r="21">
      <c r="A21" s="11" t="inlineStr"/>
      <c r="B21" s="11" t="inlineStr">
        <is>
          <t xml:space="preserve">      Refund For Customer Complaints</t>
        </is>
      </c>
      <c r="C21" s="14" t="n">
        <v>0</v>
      </c>
      <c r="D21" s="14" t="n">
        <v>0</v>
      </c>
      <c r="E21" s="14" t="n">
        <v>0</v>
      </c>
      <c r="F21" s="14" t="n">
        <v>0</v>
      </c>
      <c r="G21" s="14" t="n">
        <v>0</v>
      </c>
      <c r="H21" s="14" t="n">
        <v>0</v>
      </c>
    </row>
    <row r="22">
      <c r="A22" s="19" t="inlineStr">
        <is>
          <t>D</t>
        </is>
      </c>
      <c r="B22" s="19" t="inlineStr">
        <is>
          <t>Growth Investment In Ads</t>
        </is>
      </c>
      <c r="C22" s="20" t="n">
        <v>-170.21</v>
      </c>
      <c r="D22" s="20" t="n">
        <v>-170.21</v>
      </c>
      <c r="E22" s="20" t="n">
        <v>-170.21</v>
      </c>
      <c r="F22" s="20" t="n">
        <v>-170.21</v>
      </c>
      <c r="G22" s="20" t="n">
        <v>0</v>
      </c>
      <c r="H22" s="20" t="n">
        <v>-680.84</v>
      </c>
    </row>
    <row r="23">
      <c r="A23" s="11" t="n"/>
      <c r="B23" s="11" t="inlineStr">
        <is>
          <t xml:space="preserve">      Top Picks - Ads</t>
        </is>
      </c>
      <c r="C23" s="14" t="n">
        <v>-110.62</v>
      </c>
      <c r="D23" s="14" t="n">
        <v>-110.62</v>
      </c>
      <c r="E23" s="14" t="n">
        <v>-110.62</v>
      </c>
      <c r="F23" s="14" t="n">
        <v>-110.62</v>
      </c>
      <c r="G23" s="14" t="n">
        <v>0</v>
      </c>
      <c r="H23" s="14" t="n">
        <v>-442.48</v>
      </c>
    </row>
    <row r="24">
      <c r="A24" s="11" t="n"/>
      <c r="B24" s="11" t="inlineStr">
        <is>
          <t xml:space="preserve">      Ads Offers</t>
        </is>
      </c>
      <c r="C24" s="14" t="n">
        <v>-59.59</v>
      </c>
      <c r="D24" s="14" t="n">
        <v>-59.59</v>
      </c>
      <c r="E24" s="14" t="n">
        <v>-59.59</v>
      </c>
      <c r="F24" s="14" t="n">
        <v>-59.59</v>
      </c>
      <c r="G24" s="14" t="n">
        <v>0</v>
      </c>
      <c r="H24" s="14" t="n">
        <v>-238.36</v>
      </c>
    </row>
    <row r="25">
      <c r="A25" s="19" t="inlineStr">
        <is>
          <t>E</t>
        </is>
      </c>
      <c r="B25" s="19" t="inlineStr">
        <is>
          <t>Other Charges and Refunds</t>
        </is>
      </c>
      <c r="C25" s="20" t="n">
        <v>0</v>
      </c>
      <c r="D25" s="20" t="n">
        <v>0</v>
      </c>
      <c r="E25" s="20" t="n">
        <v>0</v>
      </c>
      <c r="F25" s="20" t="n">
        <v>0</v>
      </c>
      <c r="G25" s="20" t="n">
        <v>0</v>
      </c>
      <c r="H25" s="20" t="n">
        <v>0</v>
      </c>
    </row>
    <row r="26">
      <c r="A26" s="19" t="inlineStr">
        <is>
          <t>F</t>
        </is>
      </c>
      <c r="B26" s="19" t="inlineStr">
        <is>
          <t>Total Taxes [18+19+20+21]</t>
        </is>
      </c>
      <c r="C26" s="20" t="n">
        <v>-1038</v>
      </c>
      <c r="D26" s="20" t="n">
        <v>-1160.95</v>
      </c>
      <c r="E26" s="20" t="n">
        <v>-1301.75</v>
      </c>
      <c r="F26" s="20" t="n">
        <v>-465</v>
      </c>
      <c r="G26" s="20" t="n">
        <v>-713</v>
      </c>
      <c r="H26" s="20" t="n">
        <v>-4678.7</v>
      </c>
    </row>
    <row r="27">
      <c r="A27" s="11" t="inlineStr"/>
      <c r="B27" s="11" t="inlineStr">
        <is>
          <t xml:space="preserve">      GST Deduction (paid by Swiggy on behalf of the restaurant)</t>
        </is>
      </c>
      <c r="C27" s="14" t="n">
        <v>-518.25</v>
      </c>
      <c r="D27" s="14" t="n">
        <v>-572.25</v>
      </c>
      <c r="E27" s="14" t="n">
        <v>-627.25</v>
      </c>
      <c r="F27" s="14" t="n">
        <v>-232.17</v>
      </c>
      <c r="G27" s="14" t="n">
        <v>-356</v>
      </c>
      <c r="H27" s="14" t="n">
        <v>-2305.92</v>
      </c>
    </row>
    <row r="28">
      <c r="A28" s="11" t="inlineStr"/>
      <c r="B28" s="11" t="inlineStr">
        <is>
          <t xml:space="preserve">      GST on Service Fee @18%</t>
        </is>
      </c>
      <c r="C28" s="14" t="n">
        <v>-509.38</v>
      </c>
      <c r="D28" s="14" t="n">
        <v>-577.24</v>
      </c>
      <c r="E28" s="14" t="n">
        <v>-661.96</v>
      </c>
      <c r="F28" s="14" t="n">
        <v>-228.18</v>
      </c>
      <c r="G28" s="14" t="n">
        <v>-349.88</v>
      </c>
      <c r="H28" s="14" t="n">
        <v>-2326.64</v>
      </c>
    </row>
    <row r="29">
      <c r="A29" s="11" t="inlineStr"/>
      <c r="B29" s="11" t="inlineStr">
        <is>
          <t xml:space="preserve">      TCS</t>
        </is>
      </c>
      <c r="C29" s="14" t="n">
        <v>0</v>
      </c>
      <c r="D29" s="14" t="n">
        <v>0</v>
      </c>
      <c r="E29" s="14" t="n">
        <v>0</v>
      </c>
      <c r="F29" s="14" t="n">
        <v>0</v>
      </c>
      <c r="G29" s="14" t="n">
        <v>0</v>
      </c>
      <c r="H29" s="14" t="n">
        <v>0</v>
      </c>
    </row>
    <row r="30">
      <c r="A30" s="11" t="inlineStr"/>
      <c r="B30" s="11" t="inlineStr">
        <is>
          <t xml:space="preserve">      TDS</t>
        </is>
      </c>
      <c r="C30" s="14" t="n">
        <v>-10.37</v>
      </c>
      <c r="D30" s="14" t="n">
        <v>-11.46</v>
      </c>
      <c r="E30" s="14" t="n">
        <v>-12.54</v>
      </c>
      <c r="F30" s="14" t="n">
        <v>-4.65</v>
      </c>
      <c r="G30" s="14" t="n">
        <v>-7.12</v>
      </c>
      <c r="H30" s="14" t="n">
        <v>-46.14</v>
      </c>
    </row>
    <row r="31">
      <c r="A31" s="19" t="inlineStr">
        <is>
          <t>G</t>
        </is>
      </c>
      <c r="B31" s="19" t="inlineStr">
        <is>
          <t>Net Payout [A+B+C+D+E+F]</t>
        </is>
      </c>
      <c r="C31" s="20" t="n">
        <v>6845.46</v>
      </c>
      <c r="D31" s="20" t="n">
        <v>7479.09</v>
      </c>
      <c r="E31" s="20" t="n">
        <v>8023.46</v>
      </c>
      <c r="F31" s="20" t="n">
        <v>2972.66</v>
      </c>
      <c r="G31" s="20" t="n">
        <v>4819.24</v>
      </c>
      <c r="H31" s="20" t="n">
        <v>30139.91</v>
      </c>
    </row>
    <row r="33">
      <c r="A33" s="18" t="inlineStr">
        <is>
          <t>Amounts are the 'Total' column of each annexure's Payout Breakup sheet. Line D is a restaurant-level deduction and is not part of the order-level data — Total net payout = delivered net + cancelled net + ads.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cols>
    <col width="1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c r="A1" s="21" t="inlineStr">
        <is>
          <t>Delivered vs cancelled vs restaurant-level deductions</t>
        </is>
      </c>
    </row>
    <row r="2">
      <c r="A2" s="2" t="inlineStr">
        <is>
          <t>How each cycle's net payout is built up</t>
        </is>
      </c>
    </row>
    <row r="4" ht="30" customHeight="1">
      <c r="A4" s="6" t="inlineStr">
        <is>
          <t>Payout period</t>
        </is>
      </c>
      <c r="B4" s="6" t="inlineStr">
        <is>
          <t>Delivered: orders</t>
        </is>
      </c>
      <c r="C4" s="6" t="inlineStr">
        <is>
          <t>Delivered: total customer paid</t>
        </is>
      </c>
      <c r="D4" s="6" t="inlineStr">
        <is>
          <t>Delivered: Swiggy fees</t>
        </is>
      </c>
      <c r="E4" s="6" t="inlineStr">
        <is>
          <t>Delivered: taxes</t>
        </is>
      </c>
      <c r="F4" s="6" t="inlineStr">
        <is>
          <t>Delivered: net payout</t>
        </is>
      </c>
      <c r="G4" s="6" t="inlineStr">
        <is>
          <t>Cancelled: orders</t>
        </is>
      </c>
      <c r="H4" s="6" t="inlineStr">
        <is>
          <t>Cancelled: total customer paid</t>
        </is>
      </c>
      <c r="I4" s="6" t="inlineStr">
        <is>
          <t>Cancelled: complaints &amp; cancellation charges</t>
        </is>
      </c>
      <c r="J4" s="6" t="inlineStr">
        <is>
          <t>Cancelled: Swiggy fees</t>
        </is>
      </c>
      <c r="K4" s="6" t="inlineStr">
        <is>
          <t>Cancelled: taxes</t>
        </is>
      </c>
      <c r="L4" s="6" t="inlineStr">
        <is>
          <t>Cancelled: net payout</t>
        </is>
      </c>
      <c r="M4" s="6" t="inlineStr">
        <is>
          <t>Ads investment (restaurant level)</t>
        </is>
      </c>
      <c r="N4" s="6" t="inlineStr">
        <is>
          <t>Net payout per annexure</t>
        </is>
      </c>
    </row>
    <row r="5">
      <c r="A5" s="7" t="inlineStr">
        <is>
          <t>01 – 05 Sep</t>
        </is>
      </c>
      <c r="B5" s="9" t="n">
        <v>18</v>
      </c>
      <c r="C5" s="10" t="n">
        <v>10387.7</v>
      </c>
      <c r="D5" s="10" t="n">
        <v>-2700.8</v>
      </c>
      <c r="E5" s="10" t="n">
        <v>-990.73</v>
      </c>
      <c r="F5" s="10" t="n">
        <v>6696.18</v>
      </c>
      <c r="G5" s="9" t="n">
        <v>1</v>
      </c>
      <c r="H5" s="10" t="n">
        <v>619.5</v>
      </c>
      <c r="I5" s="10" t="n">
        <v>-123.9</v>
      </c>
      <c r="J5" s="10" t="n">
        <v>-128.85</v>
      </c>
      <c r="K5" s="10" t="n">
        <v>-47.27</v>
      </c>
      <c r="L5" s="10" t="n">
        <v>319.49</v>
      </c>
      <c r="M5" s="10" t="n">
        <v>-170.21</v>
      </c>
      <c r="N5" s="10" t="n">
        <v>6845.46</v>
      </c>
    </row>
    <row r="6">
      <c r="A6" s="11" t="inlineStr">
        <is>
          <t>06 – 12 Sep</t>
        </is>
      </c>
      <c r="B6" s="13" t="n">
        <v>24</v>
      </c>
      <c r="C6" s="14" t="n">
        <v>12017.28</v>
      </c>
      <c r="D6" s="14" t="n">
        <v>-3124.49</v>
      </c>
      <c r="E6" s="14" t="n">
        <v>-1146.09</v>
      </c>
      <c r="F6" s="14" t="n">
        <v>7746.65</v>
      </c>
      <c r="G6" s="13" t="n">
        <v>1</v>
      </c>
      <c r="H6" s="14" t="n">
        <v>0</v>
      </c>
      <c r="I6" s="14" t="n">
        <v>0</v>
      </c>
      <c r="J6" s="14" t="n">
        <v>-82.5</v>
      </c>
      <c r="K6" s="14" t="n">
        <v>-14.86</v>
      </c>
      <c r="L6" s="14" t="n">
        <v>-97.34999999999999</v>
      </c>
      <c r="M6" s="14" t="n">
        <v>-170.21</v>
      </c>
      <c r="N6" s="14" t="n">
        <v>7479.09</v>
      </c>
    </row>
    <row r="7">
      <c r="A7" s="7" t="inlineStr">
        <is>
          <t>13 – 19 Sep</t>
        </is>
      </c>
      <c r="B7" s="9" t="n">
        <v>23</v>
      </c>
      <c r="C7" s="10" t="n">
        <v>13172.28</v>
      </c>
      <c r="D7" s="10" t="n">
        <v>-3424.78</v>
      </c>
      <c r="E7" s="10" t="n">
        <v>-1256.35</v>
      </c>
      <c r="F7" s="10" t="n">
        <v>8491.32</v>
      </c>
      <c r="G7" s="9" t="n">
        <v>1</v>
      </c>
      <c r="H7" s="10" t="n">
        <v>0</v>
      </c>
      <c r="I7" s="10" t="n">
        <v>0</v>
      </c>
      <c r="J7" s="10" t="n">
        <v>-252.25</v>
      </c>
      <c r="K7" s="10" t="n">
        <v>-45.4</v>
      </c>
      <c r="L7" s="10" t="n">
        <v>-297.65</v>
      </c>
      <c r="M7" s="10" t="n">
        <v>-170.21</v>
      </c>
      <c r="N7" s="10" t="n">
        <v>8023.46</v>
      </c>
    </row>
    <row r="8">
      <c r="A8" s="11" t="inlineStr">
        <is>
          <t>20 – 26 Sep</t>
        </is>
      </c>
      <c r="B8" s="13" t="n">
        <v>10</v>
      </c>
      <c r="C8" s="14" t="n">
        <v>4875.51</v>
      </c>
      <c r="D8" s="14" t="n">
        <v>-1267.63</v>
      </c>
      <c r="E8" s="14" t="n">
        <v>-465</v>
      </c>
      <c r="F8" s="14" t="n">
        <v>3142.87</v>
      </c>
      <c r="G8" s="13" t="n">
        <v>0</v>
      </c>
      <c r="H8" s="14" t="n">
        <v>0</v>
      </c>
      <c r="I8" s="14" t="n">
        <v>0</v>
      </c>
      <c r="J8" s="14" t="n">
        <v>0</v>
      </c>
      <c r="K8" s="14" t="n">
        <v>0</v>
      </c>
      <c r="L8" s="14" t="n">
        <v>0</v>
      </c>
      <c r="M8" s="14" t="n">
        <v>-170.21</v>
      </c>
      <c r="N8" s="14" t="n">
        <v>2972.66</v>
      </c>
    </row>
    <row r="9">
      <c r="A9" s="7" t="inlineStr">
        <is>
          <t>27 – 30 Sep</t>
        </is>
      </c>
      <c r="B9" s="9" t="n">
        <v>17</v>
      </c>
      <c r="C9" s="10" t="n">
        <v>7476</v>
      </c>
      <c r="D9" s="10" t="n">
        <v>-1943.76</v>
      </c>
      <c r="E9" s="10" t="n">
        <v>-713</v>
      </c>
      <c r="F9" s="10" t="n">
        <v>4819.24</v>
      </c>
      <c r="G9" s="9" t="n">
        <v>0</v>
      </c>
      <c r="H9" s="10" t="n">
        <v>0</v>
      </c>
      <c r="I9" s="10" t="n">
        <v>0</v>
      </c>
      <c r="J9" s="10" t="n">
        <v>0</v>
      </c>
      <c r="K9" s="10" t="n">
        <v>0</v>
      </c>
      <c r="L9" s="10" t="n">
        <v>0</v>
      </c>
      <c r="M9" s="10" t="n">
        <v>0</v>
      </c>
      <c r="N9" s="10" t="n">
        <v>4819.24</v>
      </c>
    </row>
    <row r="10">
      <c r="A10" s="15" t="inlineStr">
        <is>
          <t>TOTAL</t>
        </is>
      </c>
      <c r="B10" s="16" t="n">
        <v>92</v>
      </c>
      <c r="C10" s="17" t="n">
        <v>47928.77</v>
      </c>
      <c r="D10" s="17" t="n">
        <v>-12461.46</v>
      </c>
      <c r="E10" s="17" t="n">
        <v>-4571.17</v>
      </c>
      <c r="F10" s="17" t="n">
        <v>30896.26</v>
      </c>
      <c r="G10" s="16" t="n">
        <v>3</v>
      </c>
      <c r="H10" s="17" t="n">
        <v>619.5</v>
      </c>
      <c r="I10" s="17" t="n">
        <v>-123.9</v>
      </c>
      <c r="J10" s="17" t="n">
        <v>-463.6</v>
      </c>
      <c r="K10" s="17" t="n">
        <v>-107.53</v>
      </c>
      <c r="L10" s="17" t="n">
        <v>-75.51000000000001</v>
      </c>
      <c r="M10" s="17" t="n">
        <v>-680.84</v>
      </c>
      <c r="N10" s="17" t="n">
        <v>30139.91</v>
      </c>
    </row>
    <row r="12">
      <c r="A12" s="18" t="inlineStr">
        <is>
          <t>'Swiggy fees' and 'taxes' are shown as negative deductions in the annexures; signs are preserved. Net payout per annexure = delivered + cancelled + ads.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9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7" customWidth="1" min="2" max="2"/>
    <col width="18" customWidth="1" min="3" max="3"/>
    <col width="11" customWidth="1" min="4" max="4"/>
    <col width="12" customWidth="1" min="5" max="5"/>
    <col width="12" customWidth="1" min="6" max="6"/>
    <col width="16" customWidth="1" min="7" max="7"/>
    <col width="11" customWidth="1" min="8" max="8"/>
    <col width="11" customWidth="1" min="9" max="9"/>
    <col width="12" customWidth="1" min="10" max="10"/>
    <col width="13" customWidth="1" min="11" max="11"/>
    <col width="15" customWidth="1" min="12" max="12"/>
    <col width="11" customWidth="1" min="13" max="13"/>
    <col width="15" customWidth="1" min="14" max="14"/>
    <col width="13" customWidth="1" min="15" max="15"/>
    <col width="13" customWidth="1" min="16" max="16"/>
    <col width="10" customWidth="1" min="17" max="17"/>
    <col width="12" customWidth="1" min="18" max="18"/>
    <col width="12" customWidth="1" min="19" max="19"/>
    <col width="12" customWidth="1" min="20" max="20"/>
    <col width="12" customWidth="1" min="21" max="21"/>
    <col width="14" customWidth="1" min="22" max="22"/>
    <col width="13" customWidth="1" min="23" max="23"/>
    <col width="12" customWidth="1" min="24" max="24"/>
    <col width="12" customWidth="1" min="25" max="25"/>
    <col width="8" customWidth="1" min="26" max="26"/>
    <col width="11" customWidth="1" min="27" max="27"/>
    <col width="12" customWidth="1" min="28" max="28"/>
    <col width="11" customWidth="1" min="29" max="29"/>
    <col width="10" customWidth="1" min="30" max="30"/>
    <col width="30" customWidth="1" min="31" max="31"/>
    <col width="13" customWidth="1" min="32" max="32"/>
  </cols>
  <sheetData>
    <row r="1" ht="30" customHeight="1">
      <c r="A1" s="6" t="inlineStr">
        <is>
          <t>Payout period</t>
        </is>
      </c>
      <c r="B1" s="6" t="inlineStr">
        <is>
          <t>Order ID</t>
        </is>
      </c>
      <c r="C1" s="6" t="inlineStr">
        <is>
          <t>Order date</t>
        </is>
      </c>
      <c r="D1" s="6" t="inlineStr">
        <is>
          <t>Order status</t>
        </is>
      </c>
      <c r="E1" s="6" t="inlineStr">
        <is>
          <t>Cancelled by</t>
        </is>
      </c>
      <c r="F1" s="6" t="inlineStr">
        <is>
          <t>Payment type</t>
        </is>
      </c>
      <c r="G1" s="6" t="inlineStr">
        <is>
          <t>Coupon type applied by customer</t>
        </is>
      </c>
      <c r="H1" s="6" t="inlineStr">
        <is>
          <t>Item total</t>
        </is>
      </c>
      <c r="I1" s="6" t="inlineStr">
        <is>
          <t>Packaging charges</t>
        </is>
      </c>
      <c r="J1" s="6" t="inlineStr">
        <is>
          <t>Restaurant discounts</t>
        </is>
      </c>
      <c r="K1" s="6" t="inlineStr">
        <is>
          <t>Swiggy One / exclusive offer discount</t>
        </is>
      </c>
      <c r="L1" s="6" t="inlineStr">
        <is>
          <t>Taxable value (net bill value, before taxes)</t>
        </is>
      </c>
      <c r="M1" s="6" t="inlineStr">
        <is>
          <t>GST collected @5%</t>
        </is>
      </c>
      <c r="N1" s="6" t="inlineStr">
        <is>
          <t>GST-reportable value (after cancellation adjustment)</t>
        </is>
      </c>
      <c r="O1" s="6" t="inlineStr">
        <is>
          <t>GST @5% on reportable value</t>
        </is>
      </c>
      <c r="P1" s="6" t="inlineStr">
        <is>
          <t>Total customer paid</t>
        </is>
      </c>
      <c r="Q1" s="6" t="inlineStr">
        <is>
          <t>Commission %</t>
        </is>
      </c>
      <c r="R1" s="6" t="inlineStr">
        <is>
          <t>Commission charged on</t>
        </is>
      </c>
      <c r="S1" s="6" t="inlineStr">
        <is>
          <t>Commission</t>
        </is>
      </c>
      <c r="T1" s="6" t="inlineStr">
        <is>
          <t>Payment collection charges</t>
        </is>
      </c>
      <c r="U1" s="6" t="inlineStr">
        <is>
          <t>Other Swiggy fees (cancellation, long distance, etc.)</t>
        </is>
      </c>
      <c r="V1" s="6" t="inlineStr">
        <is>
          <t>Total Swiggy fees (incl. GST on fees)</t>
        </is>
      </c>
      <c r="W1" s="6" t="inlineStr">
        <is>
          <t>Complaint &amp; cancellation charges</t>
        </is>
      </c>
      <c r="X1" s="6" t="inlineStr">
        <is>
          <t>GST retained u/s 9(5)</t>
        </is>
      </c>
      <c r="Y1" s="6" t="inlineStr">
        <is>
          <t>GST on Swiggy fees @18%</t>
        </is>
      </c>
      <c r="Z1" s="6" t="inlineStr">
        <is>
          <t>TCS</t>
        </is>
      </c>
      <c r="AA1" s="6" t="inlineStr">
        <is>
          <t>TDS u/s 194-O</t>
        </is>
      </c>
      <c r="AB1" s="6" t="inlineStr">
        <is>
          <t>Net payout for order</t>
        </is>
      </c>
      <c r="AC1" s="6" t="inlineStr">
        <is>
          <t>Swiggy One customer?</t>
        </is>
      </c>
      <c r="AD1" s="6" t="inlineStr">
        <is>
          <t>Last mile (km)</t>
        </is>
      </c>
      <c r="AE1" s="6" t="inlineStr">
        <is>
          <t>Discount campaign ID</t>
        </is>
      </c>
      <c r="AF1" s="6" t="inlineStr">
        <is>
          <t>Order settlement date</t>
        </is>
      </c>
    </row>
    <row r="2">
      <c r="A2" s="7" t="inlineStr">
        <is>
          <t>01 – 05 Sep</t>
        </is>
      </c>
      <c r="B2" s="7" t="inlineStr">
        <is>
          <t>247219772159935</t>
        </is>
      </c>
      <c r="C2" s="22" t="n">
        <v>46266.56912037037</v>
      </c>
      <c r="D2" s="7" t="inlineStr">
        <is>
          <t>delivered</t>
        </is>
      </c>
      <c r="E2" s="7" t="n"/>
      <c r="F2" s="7" t="inlineStr">
        <is>
          <t>cash</t>
        </is>
      </c>
      <c r="G2" s="7" t="inlineStr"/>
      <c r="H2" s="10" t="n">
        <v>610</v>
      </c>
      <c r="I2" s="10" t="n">
        <v>0</v>
      </c>
      <c r="J2" s="10" t="n">
        <v>0</v>
      </c>
      <c r="K2" s="10" t="n">
        <v>0</v>
      </c>
      <c r="L2" s="10" t="n">
        <v>610</v>
      </c>
      <c r="M2" s="10" t="n">
        <v>30.5</v>
      </c>
      <c r="N2" s="10" t="n">
        <v>610</v>
      </c>
      <c r="O2" s="10" t="n">
        <v>30.5</v>
      </c>
      <c r="P2" s="10" t="n">
        <v>640.5</v>
      </c>
      <c r="Q2" s="7" t="inlineStr">
        <is>
          <t>24.0%</t>
        </is>
      </c>
      <c r="R2" s="10" t="n">
        <v>640.5</v>
      </c>
      <c r="S2" s="10" t="n">
        <v>153.72</v>
      </c>
      <c r="T2" s="10" t="n">
        <v>12.81</v>
      </c>
      <c r="U2" s="10" t="n">
        <v>-0</v>
      </c>
      <c r="V2" s="10" t="n">
        <v>196.51</v>
      </c>
      <c r="W2" s="10" t="n">
        <v>0</v>
      </c>
      <c r="X2" s="10" t="n">
        <v>30.5</v>
      </c>
      <c r="Y2" s="10" t="n">
        <v>29.98</v>
      </c>
      <c r="Z2" s="10" t="n">
        <v>0</v>
      </c>
      <c r="AA2" s="10" t="n">
        <v>0.61</v>
      </c>
      <c r="AB2" s="10" t="n">
        <v>412.88</v>
      </c>
      <c r="AC2" s="7" t="inlineStr">
        <is>
          <t>Yes</t>
        </is>
      </c>
      <c r="AD2" s="23" t="n">
        <v>1.448</v>
      </c>
      <c r="AE2" s="7" t="inlineStr">
        <is>
          <t>206500dc-ba9e-4a58-be62-bb3f830ec1f3</t>
        </is>
      </c>
      <c r="AF2" s="7" t="inlineStr">
        <is>
          <t>09-09-2026</t>
        </is>
      </c>
    </row>
    <row r="3">
      <c r="A3" s="7" t="inlineStr">
        <is>
          <t>01 – 05 Sep</t>
        </is>
      </c>
      <c r="B3" s="7" t="inlineStr">
        <is>
          <t>247244498168136</t>
        </is>
      </c>
      <c r="C3" s="22" t="n">
        <v>46266.85530092593</v>
      </c>
      <c r="D3" s="7" t="inlineStr">
        <is>
          <t>delivered</t>
        </is>
      </c>
      <c r="E3" s="7" t="n"/>
      <c r="F3" s="7" t="inlineStr">
        <is>
          <t>prepaid</t>
        </is>
      </c>
      <c r="G3" s="7" t="inlineStr"/>
      <c r="H3" s="10" t="n">
        <v>255</v>
      </c>
      <c r="I3" s="10" t="n">
        <v>0</v>
      </c>
      <c r="J3" s="10" t="n">
        <v>0</v>
      </c>
      <c r="K3" s="10" t="n">
        <v>0</v>
      </c>
      <c r="L3" s="10" t="n">
        <v>255</v>
      </c>
      <c r="M3" s="10" t="n">
        <v>12.76</v>
      </c>
      <c r="N3" s="10" t="n">
        <v>255</v>
      </c>
      <c r="O3" s="10" t="n">
        <v>12.75</v>
      </c>
      <c r="P3" s="10" t="n">
        <v>267.76</v>
      </c>
      <c r="Q3" s="7" t="inlineStr">
        <is>
          <t>24.0%</t>
        </is>
      </c>
      <c r="R3" s="10" t="n">
        <v>267.76</v>
      </c>
      <c r="S3" s="10" t="n">
        <v>64.26000000000001</v>
      </c>
      <c r="T3" s="10" t="n">
        <v>5.36</v>
      </c>
      <c r="U3" s="10" t="n">
        <v>-0</v>
      </c>
      <c r="V3" s="10" t="n">
        <v>82.16</v>
      </c>
      <c r="W3" s="10" t="n">
        <v>0</v>
      </c>
      <c r="X3" s="10" t="n">
        <v>12.75</v>
      </c>
      <c r="Y3" s="10" t="n">
        <v>12.54</v>
      </c>
      <c r="Z3" s="10" t="n">
        <v>0</v>
      </c>
      <c r="AA3" s="10" t="n">
        <v>0.26</v>
      </c>
      <c r="AB3" s="10" t="n">
        <v>172.6</v>
      </c>
      <c r="AC3" s="7" t="inlineStr">
        <is>
          <t>Yes</t>
        </is>
      </c>
      <c r="AD3" s="23" t="n">
        <v>2.913</v>
      </c>
      <c r="AE3" s="7" t="inlineStr">
        <is>
          <t>206500dc-ba9e-4a58-be62-bb3f830ec1f3</t>
        </is>
      </c>
      <c r="AF3" s="7" t="inlineStr">
        <is>
          <t>09-09-2026</t>
        </is>
      </c>
    </row>
    <row r="4">
      <c r="A4" s="7" t="inlineStr">
        <is>
          <t>01 – 05 Sep</t>
        </is>
      </c>
      <c r="B4" s="7" t="inlineStr">
        <is>
          <t>247332562171641</t>
        </is>
      </c>
      <c r="C4" s="22" t="n">
        <v>46267.87456018518</v>
      </c>
      <c r="D4" s="7" t="inlineStr">
        <is>
          <t>delivered</t>
        </is>
      </c>
      <c r="E4" s="7" t="n"/>
      <c r="F4" s="7" t="inlineStr">
        <is>
          <t>prepaid</t>
        </is>
      </c>
      <c r="G4" s="7" t="inlineStr"/>
      <c r="H4" s="10" t="n">
        <v>330</v>
      </c>
      <c r="I4" s="10" t="n">
        <v>0</v>
      </c>
      <c r="J4" s="10" t="n">
        <v>0</v>
      </c>
      <c r="K4" s="10" t="n">
        <v>0</v>
      </c>
      <c r="L4" s="10" t="n">
        <v>330</v>
      </c>
      <c r="M4" s="10" t="n">
        <v>16.5</v>
      </c>
      <c r="N4" s="10" t="n">
        <v>330</v>
      </c>
      <c r="O4" s="10" t="n">
        <v>16.5</v>
      </c>
      <c r="P4" s="10" t="n">
        <v>346.5</v>
      </c>
      <c r="Q4" s="7" t="inlineStr">
        <is>
          <t>24.0%</t>
        </is>
      </c>
      <c r="R4" s="10" t="n">
        <v>346.5</v>
      </c>
      <c r="S4" s="10" t="n">
        <v>83.16</v>
      </c>
      <c r="T4" s="10" t="n">
        <v>6.93</v>
      </c>
      <c r="U4" s="10" t="n">
        <v>0</v>
      </c>
      <c r="V4" s="10" t="n">
        <v>106.31</v>
      </c>
      <c r="W4" s="10" t="n">
        <v>0</v>
      </c>
      <c r="X4" s="10" t="n">
        <v>16.5</v>
      </c>
      <c r="Y4" s="10" t="n">
        <v>16.22</v>
      </c>
      <c r="Z4" s="10" t="n">
        <v>0</v>
      </c>
      <c r="AA4" s="10" t="n">
        <v>0.33</v>
      </c>
      <c r="AB4" s="10" t="n">
        <v>223.36</v>
      </c>
      <c r="AC4" s="7" t="inlineStr">
        <is>
          <t>Yes</t>
        </is>
      </c>
      <c r="AD4" s="23" t="n">
        <v>3.495</v>
      </c>
      <c r="AE4" s="7" t="inlineStr">
        <is>
          <t>206500dc-ba9e-4a58-be62-bb3f830ec1f3</t>
        </is>
      </c>
      <c r="AF4" s="7" t="inlineStr">
        <is>
          <t>09-09-2026</t>
        </is>
      </c>
    </row>
    <row r="5">
      <c r="A5" s="7" t="inlineStr">
        <is>
          <t>01 – 05 Sep</t>
        </is>
      </c>
      <c r="B5" s="7" t="inlineStr">
        <is>
          <t>247334675189405</t>
        </is>
      </c>
      <c r="C5" s="22" t="n">
        <v>46267.8990162037</v>
      </c>
      <c r="D5" s="7" t="inlineStr">
        <is>
          <t>delivered</t>
        </is>
      </c>
      <c r="E5" s="7" t="n"/>
      <c r="F5" s="7" t="inlineStr">
        <is>
          <t>cash</t>
        </is>
      </c>
      <c r="G5" s="7" t="inlineStr"/>
      <c r="H5" s="10" t="n">
        <v>300</v>
      </c>
      <c r="I5" s="10" t="n">
        <v>0</v>
      </c>
      <c r="J5" s="10" t="n">
        <v>0</v>
      </c>
      <c r="K5" s="10" t="n">
        <v>0</v>
      </c>
      <c r="L5" s="10" t="n">
        <v>300</v>
      </c>
      <c r="M5" s="10" t="n">
        <v>15</v>
      </c>
      <c r="N5" s="10" t="n">
        <v>300</v>
      </c>
      <c r="O5" s="10" t="n">
        <v>15</v>
      </c>
      <c r="P5" s="10" t="n">
        <v>315</v>
      </c>
      <c r="Q5" s="7" t="inlineStr">
        <is>
          <t>24.0%</t>
        </is>
      </c>
      <c r="R5" s="10" t="n">
        <v>315</v>
      </c>
      <c r="S5" s="10" t="n">
        <v>75.59999999999999</v>
      </c>
      <c r="T5" s="10" t="n">
        <v>6.3</v>
      </c>
      <c r="U5" s="10" t="n">
        <v>0</v>
      </c>
      <c r="V5" s="10" t="n">
        <v>96.64</v>
      </c>
      <c r="W5" s="10" t="n">
        <v>0</v>
      </c>
      <c r="X5" s="10" t="n">
        <v>15</v>
      </c>
      <c r="Y5" s="10" t="n">
        <v>14.74</v>
      </c>
      <c r="Z5" s="10" t="n">
        <v>0</v>
      </c>
      <c r="AA5" s="10" t="n">
        <v>0.3</v>
      </c>
      <c r="AB5" s="10" t="n">
        <v>203.06</v>
      </c>
      <c r="AC5" s="7" t="inlineStr">
        <is>
          <t>Yes</t>
        </is>
      </c>
      <c r="AD5" s="23" t="n">
        <v>2.863</v>
      </c>
      <c r="AE5" s="7" t="inlineStr">
        <is>
          <t>206500dc-ba9e-4a58-be62-bb3f830ec1f3</t>
        </is>
      </c>
      <c r="AF5" s="7" t="inlineStr">
        <is>
          <t>09-09-2026</t>
        </is>
      </c>
    </row>
    <row r="6">
      <c r="A6" s="7" t="inlineStr">
        <is>
          <t>01 – 05 Sep</t>
        </is>
      </c>
      <c r="B6" s="7" t="inlineStr">
        <is>
          <t>247387651166955</t>
        </is>
      </c>
      <c r="C6" s="22" t="n">
        <v>46268.51216435185</v>
      </c>
      <c r="D6" s="7" t="inlineStr">
        <is>
          <t>delivered</t>
        </is>
      </c>
      <c r="E6" s="7" t="n"/>
      <c r="F6" s="7" t="inlineStr">
        <is>
          <t>cash</t>
        </is>
      </c>
      <c r="G6" s="7" t="inlineStr"/>
      <c r="H6" s="10" t="n">
        <v>585</v>
      </c>
      <c r="I6" s="10" t="n">
        <v>0</v>
      </c>
      <c r="J6" s="10" t="n">
        <v>0</v>
      </c>
      <c r="K6" s="10" t="n">
        <v>0</v>
      </c>
      <c r="L6" s="10" t="n">
        <v>585</v>
      </c>
      <c r="M6" s="10" t="n">
        <v>29.26</v>
      </c>
      <c r="N6" s="10" t="n">
        <v>585</v>
      </c>
      <c r="O6" s="10" t="n">
        <v>29.25</v>
      </c>
      <c r="P6" s="10" t="n">
        <v>614.26</v>
      </c>
      <c r="Q6" s="7" t="inlineStr">
        <is>
          <t>24.0%</t>
        </is>
      </c>
      <c r="R6" s="10" t="n">
        <v>614.24</v>
      </c>
      <c r="S6" s="10" t="n">
        <v>147.42</v>
      </c>
      <c r="T6" s="10" t="n">
        <v>12.28</v>
      </c>
      <c r="U6" s="10" t="n">
        <v>0</v>
      </c>
      <c r="V6" s="10" t="n">
        <v>188.44</v>
      </c>
      <c r="W6" s="10" t="n">
        <v>0</v>
      </c>
      <c r="X6" s="10" t="n">
        <v>29.25</v>
      </c>
      <c r="Y6" s="10" t="n">
        <v>28.74</v>
      </c>
      <c r="Z6" s="10" t="n">
        <v>0</v>
      </c>
      <c r="AA6" s="10" t="n">
        <v>0.58</v>
      </c>
      <c r="AB6" s="10" t="n">
        <v>395.96</v>
      </c>
      <c r="AC6" s="7" t="inlineStr">
        <is>
          <t>Yes</t>
        </is>
      </c>
      <c r="AD6" s="23" t="n">
        <v>3.77</v>
      </c>
      <c r="AE6" s="7" t="inlineStr">
        <is>
          <t>711fc754-4304-4178-a84a-19e7d53c8509</t>
        </is>
      </c>
      <c r="AF6" s="7" t="inlineStr">
        <is>
          <t>09-09-2026</t>
        </is>
      </c>
    </row>
    <row r="7">
      <c r="A7" s="7" t="inlineStr">
        <is>
          <t>01 – 05 Sep</t>
        </is>
      </c>
      <c r="B7" s="7" t="inlineStr">
        <is>
          <t>247413244164815</t>
        </is>
      </c>
      <c r="C7" s="22" t="n">
        <v>46268.80837962963</v>
      </c>
      <c r="D7" s="7" t="inlineStr">
        <is>
          <t>delivered</t>
        </is>
      </c>
      <c r="E7" s="7" t="n"/>
      <c r="F7" s="7" t="inlineStr">
        <is>
          <t>prepaid</t>
        </is>
      </c>
      <c r="G7" s="7" t="inlineStr"/>
      <c r="H7" s="10" t="n">
        <v>1080</v>
      </c>
      <c r="I7" s="10" t="n">
        <v>0</v>
      </c>
      <c r="J7" s="10" t="n">
        <v>0</v>
      </c>
      <c r="K7" s="10" t="n">
        <v>0</v>
      </c>
      <c r="L7" s="10" t="n">
        <v>1080</v>
      </c>
      <c r="M7" s="10" t="n">
        <v>54</v>
      </c>
      <c r="N7" s="10" t="n">
        <v>1080</v>
      </c>
      <c r="O7" s="10" t="n">
        <v>54</v>
      </c>
      <c r="P7" s="10" t="n">
        <v>1134</v>
      </c>
      <c r="Q7" s="7" t="inlineStr">
        <is>
          <t>24.0%</t>
        </is>
      </c>
      <c r="R7" s="10" t="n">
        <v>1134</v>
      </c>
      <c r="S7" s="10" t="n">
        <v>272.16</v>
      </c>
      <c r="T7" s="10" t="n">
        <v>22.68</v>
      </c>
      <c r="U7" s="10" t="n">
        <v>-0</v>
      </c>
      <c r="V7" s="10" t="n">
        <v>347.92</v>
      </c>
      <c r="W7" s="10" t="n">
        <v>0</v>
      </c>
      <c r="X7" s="10" t="n">
        <v>54</v>
      </c>
      <c r="Y7" s="10" t="n">
        <v>53.08</v>
      </c>
      <c r="Z7" s="10" t="n">
        <v>0</v>
      </c>
      <c r="AA7" s="10" t="n">
        <v>1.08</v>
      </c>
      <c r="AB7" s="10" t="n">
        <v>731.02</v>
      </c>
      <c r="AC7" s="7" t="inlineStr">
        <is>
          <t>Yes</t>
        </is>
      </c>
      <c r="AD7" s="23" t="n">
        <v>4.168</v>
      </c>
      <c r="AE7" s="7" t="inlineStr">
        <is>
          <t>206500dc-ba9e-4a58-be62-bb3f830ec1f3</t>
        </is>
      </c>
      <c r="AF7" s="7" t="inlineStr">
        <is>
          <t>09-09-2026</t>
        </is>
      </c>
    </row>
    <row r="8">
      <c r="A8" s="7" t="inlineStr">
        <is>
          <t>01 – 05 Sep</t>
        </is>
      </c>
      <c r="B8" s="7" t="inlineStr">
        <is>
          <t>247423058160259</t>
        </is>
      </c>
      <c r="C8" s="22" t="n">
        <v>46268.92196759259</v>
      </c>
      <c r="D8" s="7" t="inlineStr">
        <is>
          <t>delivered</t>
        </is>
      </c>
      <c r="E8" s="7" t="n"/>
      <c r="F8" s="7" t="inlineStr">
        <is>
          <t>prepaid</t>
        </is>
      </c>
      <c r="G8" s="7" t="inlineStr">
        <is>
          <t>PAYTMRUPAYCC</t>
        </is>
      </c>
      <c r="H8" s="10" t="n">
        <v>600</v>
      </c>
      <c r="I8" s="10" t="n">
        <v>0</v>
      </c>
      <c r="J8" s="10" t="n">
        <v>0</v>
      </c>
      <c r="K8" s="10" t="n">
        <v>0</v>
      </c>
      <c r="L8" s="10" t="n">
        <v>600</v>
      </c>
      <c r="M8" s="10" t="n">
        <v>30</v>
      </c>
      <c r="N8" s="10" t="n">
        <v>600</v>
      </c>
      <c r="O8" s="10" t="n">
        <v>30</v>
      </c>
      <c r="P8" s="10" t="n">
        <v>630</v>
      </c>
      <c r="Q8" s="7" t="inlineStr">
        <is>
          <t>24.0%</t>
        </is>
      </c>
      <c r="R8" s="10" t="n">
        <v>630</v>
      </c>
      <c r="S8" s="10" t="n">
        <v>151.2</v>
      </c>
      <c r="T8" s="10" t="n">
        <v>12.6</v>
      </c>
      <c r="U8" s="10" t="n">
        <v>0</v>
      </c>
      <c r="V8" s="10" t="n">
        <v>193.28</v>
      </c>
      <c r="W8" s="10" t="n">
        <v>0</v>
      </c>
      <c r="X8" s="10" t="n">
        <v>30</v>
      </c>
      <c r="Y8" s="10" t="n">
        <v>29.48</v>
      </c>
      <c r="Z8" s="10" t="n">
        <v>0</v>
      </c>
      <c r="AA8" s="10" t="n">
        <v>0.6</v>
      </c>
      <c r="AB8" s="10" t="n">
        <v>406.12</v>
      </c>
      <c r="AC8" s="7" t="inlineStr">
        <is>
          <t>Yes</t>
        </is>
      </c>
      <c r="AD8" s="23" t="n">
        <v>3.248</v>
      </c>
      <c r="AE8" s="7" t="inlineStr">
        <is>
          <t>206500dc-ba9e-4a58-be62-bb3f830ec1f3</t>
        </is>
      </c>
      <c r="AF8" s="7" t="inlineStr">
        <is>
          <t>09-09-2026</t>
        </is>
      </c>
    </row>
    <row r="9">
      <c r="A9" s="7" t="inlineStr">
        <is>
          <t>01 – 05 Sep</t>
        </is>
      </c>
      <c r="B9" s="7" t="inlineStr">
        <is>
          <t>247467129161764</t>
        </is>
      </c>
      <c r="C9" s="22" t="n">
        <v>46269.43204861111</v>
      </c>
      <c r="D9" s="7" t="inlineStr">
        <is>
          <t>delivered</t>
        </is>
      </c>
      <c r="E9" s="7" t="n"/>
      <c r="F9" s="7" t="inlineStr">
        <is>
          <t>prepaid</t>
        </is>
      </c>
      <c r="G9" s="7" t="inlineStr"/>
      <c r="H9" s="10" t="n">
        <v>1009</v>
      </c>
      <c r="I9" s="10" t="n">
        <v>0</v>
      </c>
      <c r="J9" s="10" t="n">
        <v>0</v>
      </c>
      <c r="K9" s="10" t="n">
        <v>0</v>
      </c>
      <c r="L9" s="10" t="n">
        <v>1009</v>
      </c>
      <c r="M9" s="10" t="n">
        <v>50.46</v>
      </c>
      <c r="N9" s="10" t="n">
        <v>1009</v>
      </c>
      <c r="O9" s="10" t="n">
        <v>50.45</v>
      </c>
      <c r="P9" s="10" t="n">
        <v>1059.46</v>
      </c>
      <c r="Q9" s="7" t="inlineStr">
        <is>
          <t>24.0%</t>
        </is>
      </c>
      <c r="R9" s="10" t="n">
        <v>1059.46</v>
      </c>
      <c r="S9" s="10" t="n">
        <v>254.27</v>
      </c>
      <c r="T9" s="10" t="n">
        <v>21.19</v>
      </c>
      <c r="U9" s="10" t="n">
        <v>0</v>
      </c>
      <c r="V9" s="10" t="n">
        <v>325.04</v>
      </c>
      <c r="W9" s="10" t="n">
        <v>0</v>
      </c>
      <c r="X9" s="10" t="n">
        <v>50.45</v>
      </c>
      <c r="Y9" s="10" t="n">
        <v>49.58</v>
      </c>
      <c r="Z9" s="10" t="n">
        <v>0</v>
      </c>
      <c r="AA9" s="10" t="n">
        <v>1.01</v>
      </c>
      <c r="AB9" s="10" t="n">
        <v>682.95</v>
      </c>
      <c r="AC9" s="7" t="inlineStr">
        <is>
          <t>No</t>
        </is>
      </c>
      <c r="AD9" s="23" t="n">
        <v>3.633</v>
      </c>
      <c r="AE9" s="7" t="inlineStr"/>
      <c r="AF9" s="7" t="inlineStr">
        <is>
          <t>09-09-2026</t>
        </is>
      </c>
    </row>
    <row r="10">
      <c r="A10" s="7" t="inlineStr">
        <is>
          <t>01 – 05 Sep</t>
        </is>
      </c>
      <c r="B10" s="7" t="inlineStr">
        <is>
          <t>247476603185070</t>
        </is>
      </c>
      <c r="C10" s="22" t="n">
        <v>46269.54170138889</v>
      </c>
      <c r="D10" s="7" t="inlineStr">
        <is>
          <t>delivered</t>
        </is>
      </c>
      <c r="E10" s="7" t="n"/>
      <c r="F10" s="7" t="inlineStr">
        <is>
          <t>prepaid</t>
        </is>
      </c>
      <c r="G10" s="7" t="inlineStr"/>
      <c r="H10" s="10" t="n">
        <v>1109</v>
      </c>
      <c r="I10" s="10" t="n">
        <v>0</v>
      </c>
      <c r="J10" s="10" t="n">
        <v>0</v>
      </c>
      <c r="K10" s="10" t="n">
        <v>0</v>
      </c>
      <c r="L10" s="10" t="n">
        <v>1109</v>
      </c>
      <c r="M10" s="10" t="n">
        <v>55.46</v>
      </c>
      <c r="N10" s="10" t="n">
        <v>1109</v>
      </c>
      <c r="O10" s="10" t="n">
        <v>55.45</v>
      </c>
      <c r="P10" s="10" t="n">
        <v>1164.46</v>
      </c>
      <c r="Q10" s="7" t="inlineStr">
        <is>
          <t>24.0%</t>
        </is>
      </c>
      <c r="R10" s="10" t="n">
        <v>1164.46</v>
      </c>
      <c r="S10" s="10" t="n">
        <v>279.47</v>
      </c>
      <c r="T10" s="10" t="n">
        <v>23.29</v>
      </c>
      <c r="U10" s="10" t="n">
        <v>-0</v>
      </c>
      <c r="V10" s="10" t="n">
        <v>357.26</v>
      </c>
      <c r="W10" s="10" t="n">
        <v>0</v>
      </c>
      <c r="X10" s="10" t="n">
        <v>55.45</v>
      </c>
      <c r="Y10" s="10" t="n">
        <v>54.5</v>
      </c>
      <c r="Z10" s="10" t="n">
        <v>0</v>
      </c>
      <c r="AA10" s="10" t="n">
        <v>1.11</v>
      </c>
      <c r="AB10" s="10" t="n">
        <v>750.63</v>
      </c>
      <c r="AC10" s="7" t="inlineStr">
        <is>
          <t>Yes</t>
        </is>
      </c>
      <c r="AD10" s="23" t="n">
        <v>2.785</v>
      </c>
      <c r="AE10" s="7" t="inlineStr">
        <is>
          <t>206500dc-ba9e-4a58-be62-bb3f830ec1f3</t>
        </is>
      </c>
      <c r="AF10" s="7" t="inlineStr">
        <is>
          <t>09-09-2026</t>
        </is>
      </c>
    </row>
    <row r="11">
      <c r="A11" s="7" t="inlineStr">
        <is>
          <t>01 – 05 Sep</t>
        </is>
      </c>
      <c r="B11" s="7" t="inlineStr">
        <is>
          <t>247490997173409</t>
        </is>
      </c>
      <c r="C11" s="22" t="n">
        <v>46269.70829861111</v>
      </c>
      <c r="D11" s="7" t="inlineStr">
        <is>
          <t>delivered</t>
        </is>
      </c>
      <c r="E11" s="7" t="n"/>
      <c r="F11" s="7" t="inlineStr">
        <is>
          <t>prepaid</t>
        </is>
      </c>
      <c r="G11" s="7" t="inlineStr">
        <is>
          <t>GIFT4U</t>
        </is>
      </c>
      <c r="H11" s="10" t="n">
        <v>300</v>
      </c>
      <c r="I11" s="10" t="n">
        <v>0</v>
      </c>
      <c r="J11" s="10" t="n">
        <v>0</v>
      </c>
      <c r="K11" s="10" t="n">
        <v>0</v>
      </c>
      <c r="L11" s="10" t="n">
        <v>300</v>
      </c>
      <c r="M11" s="10" t="n">
        <v>15</v>
      </c>
      <c r="N11" s="10" t="n">
        <v>300</v>
      </c>
      <c r="O11" s="10" t="n">
        <v>15</v>
      </c>
      <c r="P11" s="10" t="n">
        <v>315</v>
      </c>
      <c r="Q11" s="7" t="inlineStr">
        <is>
          <t>24.0%</t>
        </is>
      </c>
      <c r="R11" s="10" t="n">
        <v>315</v>
      </c>
      <c r="S11" s="10" t="n">
        <v>75.59999999999999</v>
      </c>
      <c r="T11" s="10" t="n">
        <v>6.3</v>
      </c>
      <c r="U11" s="10" t="n">
        <v>0</v>
      </c>
      <c r="V11" s="10" t="n">
        <v>96.64</v>
      </c>
      <c r="W11" s="10" t="n">
        <v>0</v>
      </c>
      <c r="X11" s="10" t="n">
        <v>15</v>
      </c>
      <c r="Y11" s="10" t="n">
        <v>14.74</v>
      </c>
      <c r="Z11" s="10" t="n">
        <v>0</v>
      </c>
      <c r="AA11" s="10" t="n">
        <v>0.3</v>
      </c>
      <c r="AB11" s="10" t="n">
        <v>203.06</v>
      </c>
      <c r="AC11" s="7" t="inlineStr">
        <is>
          <t>Yes</t>
        </is>
      </c>
      <c r="AD11" s="23" t="n">
        <v>3.115</v>
      </c>
      <c r="AE11" s="7" t="inlineStr">
        <is>
          <t>206500dc-ba9e-4a58-be62-bb3f830ec1f3</t>
        </is>
      </c>
      <c r="AF11" s="7" t="inlineStr">
        <is>
          <t>09-09-2026</t>
        </is>
      </c>
    </row>
    <row r="12">
      <c r="A12" s="7" t="inlineStr">
        <is>
          <t>01 – 05 Sep</t>
        </is>
      </c>
      <c r="B12" s="7" t="inlineStr">
        <is>
          <t>247500698178250</t>
        </is>
      </c>
      <c r="C12" s="22" t="n">
        <v>46269.8205787037</v>
      </c>
      <c r="D12" s="7" t="inlineStr">
        <is>
          <t>delivered</t>
        </is>
      </c>
      <c r="E12" s="7" t="n"/>
      <c r="F12" s="7" t="inlineStr">
        <is>
          <t>cash</t>
        </is>
      </c>
      <c r="G12" s="7" t="inlineStr"/>
      <c r="H12" s="10" t="n">
        <v>255</v>
      </c>
      <c r="I12" s="10" t="n">
        <v>0</v>
      </c>
      <c r="J12" s="10" t="n">
        <v>0</v>
      </c>
      <c r="K12" s="10" t="n">
        <v>0</v>
      </c>
      <c r="L12" s="10" t="n">
        <v>255</v>
      </c>
      <c r="M12" s="10" t="n">
        <v>12.76</v>
      </c>
      <c r="N12" s="10" t="n">
        <v>255</v>
      </c>
      <c r="O12" s="10" t="n">
        <v>12.75</v>
      </c>
      <c r="P12" s="10" t="n">
        <v>267.76</v>
      </c>
      <c r="Q12" s="7" t="inlineStr">
        <is>
          <t>24.0%</t>
        </is>
      </c>
      <c r="R12" s="10" t="n">
        <v>267.76</v>
      </c>
      <c r="S12" s="10" t="n">
        <v>64.26000000000001</v>
      </c>
      <c r="T12" s="10" t="n">
        <v>5.36</v>
      </c>
      <c r="U12" s="10" t="n">
        <v>-0</v>
      </c>
      <c r="V12" s="10" t="n">
        <v>82.16</v>
      </c>
      <c r="W12" s="10" t="n">
        <v>0</v>
      </c>
      <c r="X12" s="10" t="n">
        <v>12.75</v>
      </c>
      <c r="Y12" s="10" t="n">
        <v>12.54</v>
      </c>
      <c r="Z12" s="10" t="n">
        <v>0</v>
      </c>
      <c r="AA12" s="10" t="n">
        <v>0.26</v>
      </c>
      <c r="AB12" s="10" t="n">
        <v>172.6</v>
      </c>
      <c r="AC12" s="7" t="inlineStr">
        <is>
          <t>Yes</t>
        </is>
      </c>
      <c r="AD12" s="23" t="n">
        <v>2.9</v>
      </c>
      <c r="AE12" s="7" t="inlineStr">
        <is>
          <t>206500dc-ba9e-4a58-be62-bb3f830ec1f3</t>
        </is>
      </c>
      <c r="AF12" s="7" t="inlineStr">
        <is>
          <t>09-09-2026</t>
        </is>
      </c>
    </row>
    <row r="13">
      <c r="A13" s="7" t="inlineStr">
        <is>
          <t>01 – 05 Sep</t>
        </is>
      </c>
      <c r="B13" s="7" t="inlineStr">
        <is>
          <t>247505941197546</t>
        </is>
      </c>
      <c r="C13" s="22" t="n">
        <v>46269.88126157408</v>
      </c>
      <c r="D13" s="7" t="inlineStr">
        <is>
          <t>delivered</t>
        </is>
      </c>
      <c r="E13" s="7" t="n"/>
      <c r="F13" s="7" t="inlineStr">
        <is>
          <t>prepaid</t>
        </is>
      </c>
      <c r="G13" s="7" t="inlineStr"/>
      <c r="H13" s="10" t="n">
        <v>290</v>
      </c>
      <c r="I13" s="10" t="n">
        <v>0</v>
      </c>
      <c r="J13" s="10" t="n">
        <v>0</v>
      </c>
      <c r="K13" s="10" t="n">
        <v>0</v>
      </c>
      <c r="L13" s="10" t="n">
        <v>290</v>
      </c>
      <c r="M13" s="10" t="n">
        <v>14.5</v>
      </c>
      <c r="N13" s="10" t="n">
        <v>290</v>
      </c>
      <c r="O13" s="10" t="n">
        <v>14.5</v>
      </c>
      <c r="P13" s="10" t="n">
        <v>304.5</v>
      </c>
      <c r="Q13" s="7" t="inlineStr">
        <is>
          <t>24.0%</t>
        </is>
      </c>
      <c r="R13" s="10" t="n">
        <v>304.5</v>
      </c>
      <c r="S13" s="10" t="n">
        <v>73.08</v>
      </c>
      <c r="T13" s="10" t="n">
        <v>6.09</v>
      </c>
      <c r="U13" s="10" t="n">
        <v>0</v>
      </c>
      <c r="V13" s="10" t="n">
        <v>93.43000000000001</v>
      </c>
      <c r="W13" s="10" t="n">
        <v>0</v>
      </c>
      <c r="X13" s="10" t="n">
        <v>14.5</v>
      </c>
      <c r="Y13" s="10" t="n">
        <v>14.26</v>
      </c>
      <c r="Z13" s="10" t="n">
        <v>0</v>
      </c>
      <c r="AA13" s="10" t="n">
        <v>0.29</v>
      </c>
      <c r="AB13" s="10" t="n">
        <v>196.3</v>
      </c>
      <c r="AC13" s="7" t="inlineStr">
        <is>
          <t>Yes</t>
        </is>
      </c>
      <c r="AD13" s="23" t="n">
        <v>2.23</v>
      </c>
      <c r="AE13" s="7" t="inlineStr">
        <is>
          <t>206500dc-ba9e-4a58-be62-bb3f830ec1f3</t>
        </is>
      </c>
      <c r="AF13" s="7" t="inlineStr">
        <is>
          <t>09-09-2026</t>
        </is>
      </c>
    </row>
    <row r="14">
      <c r="A14" s="7" t="inlineStr">
        <is>
          <t>01 – 05 Sep</t>
        </is>
      </c>
      <c r="B14" s="7" t="inlineStr">
        <is>
          <t>247562336174172</t>
        </is>
      </c>
      <c r="C14" s="22" t="n">
        <v>46270.53398148148</v>
      </c>
      <c r="D14" s="7" t="inlineStr">
        <is>
          <t>delivered</t>
        </is>
      </c>
      <c r="E14" s="7" t="n"/>
      <c r="F14" s="7" t="inlineStr">
        <is>
          <t>cash</t>
        </is>
      </c>
      <c r="G14" s="7" t="inlineStr"/>
      <c r="H14" s="10" t="n">
        <v>660</v>
      </c>
      <c r="I14" s="10" t="n">
        <v>0</v>
      </c>
      <c r="J14" s="10" t="n">
        <v>0</v>
      </c>
      <c r="K14" s="10" t="n">
        <v>0</v>
      </c>
      <c r="L14" s="10" t="n">
        <v>660</v>
      </c>
      <c r="M14" s="10" t="n">
        <v>33</v>
      </c>
      <c r="N14" s="10" t="n">
        <v>660</v>
      </c>
      <c r="O14" s="10" t="n">
        <v>33</v>
      </c>
      <c r="P14" s="10" t="n">
        <v>693</v>
      </c>
      <c r="Q14" s="7" t="inlineStr">
        <is>
          <t>24.0%</t>
        </is>
      </c>
      <c r="R14" s="10" t="n">
        <v>693</v>
      </c>
      <c r="S14" s="10" t="n">
        <v>166.32</v>
      </c>
      <c r="T14" s="10" t="n">
        <v>13.86</v>
      </c>
      <c r="U14" s="10" t="n">
        <v>0</v>
      </c>
      <c r="V14" s="10" t="n">
        <v>212.62</v>
      </c>
      <c r="W14" s="10" t="n">
        <v>0</v>
      </c>
      <c r="X14" s="10" t="n">
        <v>33</v>
      </c>
      <c r="Y14" s="10" t="n">
        <v>32.44</v>
      </c>
      <c r="Z14" s="10" t="n">
        <v>0</v>
      </c>
      <c r="AA14" s="10" t="n">
        <v>0.66</v>
      </c>
      <c r="AB14" s="10" t="n">
        <v>446.74</v>
      </c>
      <c r="AC14" s="7" t="inlineStr">
        <is>
          <t>Yes</t>
        </is>
      </c>
      <c r="AD14" s="23" t="n">
        <v>3.371</v>
      </c>
      <c r="AE14" s="7" t="inlineStr">
        <is>
          <t>206500dc-ba9e-4a58-be62-bb3f830ec1f3</t>
        </is>
      </c>
      <c r="AF14" s="7" t="inlineStr">
        <is>
          <t>09-09-2026</t>
        </is>
      </c>
    </row>
    <row r="15">
      <c r="A15" s="24" t="inlineStr">
        <is>
          <t>01 – 05 Sep</t>
        </is>
      </c>
      <c r="B15" s="24" t="inlineStr">
        <is>
          <t>247576408124202</t>
        </is>
      </c>
      <c r="C15" s="25" t="n">
        <v>46270.69685185186</v>
      </c>
      <c r="D15" s="24" t="inlineStr">
        <is>
          <t>cancelled</t>
        </is>
      </c>
      <c r="E15" s="24" t="inlineStr">
        <is>
          <t>SWIGGY</t>
        </is>
      </c>
      <c r="F15" s="24" t="inlineStr">
        <is>
          <t>prepaid</t>
        </is>
      </c>
      <c r="G15" s="24" t="inlineStr"/>
      <c r="H15" s="26" t="n">
        <v>590</v>
      </c>
      <c r="I15" s="26" t="n">
        <v>0</v>
      </c>
      <c r="J15" s="26" t="n">
        <v>0</v>
      </c>
      <c r="K15" s="26" t="n">
        <v>0</v>
      </c>
      <c r="L15" s="26" t="n">
        <v>590</v>
      </c>
      <c r="M15" s="26" t="n">
        <v>29.5</v>
      </c>
      <c r="N15" s="26" t="n">
        <v>472</v>
      </c>
      <c r="O15" s="26" t="n">
        <v>23.6</v>
      </c>
      <c r="P15" s="26" t="n">
        <v>619.5</v>
      </c>
      <c r="Q15" s="24" t="inlineStr">
        <is>
          <t>24.0%</t>
        </is>
      </c>
      <c r="R15" s="26" t="n">
        <v>495.6</v>
      </c>
      <c r="S15" s="26" t="n">
        <v>118.94</v>
      </c>
      <c r="T15" s="26" t="n">
        <v>9.91</v>
      </c>
      <c r="U15" s="26" t="n">
        <v>0</v>
      </c>
      <c r="V15" s="26" t="n">
        <v>152.05</v>
      </c>
      <c r="W15" s="26" t="n">
        <v>123.9</v>
      </c>
      <c r="X15" s="26" t="n">
        <v>23.6</v>
      </c>
      <c r="Y15" s="26" t="n">
        <v>23.2</v>
      </c>
      <c r="Z15" s="26" t="n">
        <v>0</v>
      </c>
      <c r="AA15" s="26" t="n">
        <v>0.47</v>
      </c>
      <c r="AB15" s="26" t="n">
        <v>319.49</v>
      </c>
      <c r="AC15" s="24" t="inlineStr">
        <is>
          <t>No</t>
        </is>
      </c>
      <c r="AD15" s="27" t="n">
        <v>10.708</v>
      </c>
      <c r="AE15" s="24" t="inlineStr"/>
      <c r="AF15" s="24" t="inlineStr">
        <is>
          <t>09-09-2026</t>
        </is>
      </c>
    </row>
    <row r="16">
      <c r="A16" s="7" t="inlineStr">
        <is>
          <t>01 – 05 Sep</t>
        </is>
      </c>
      <c r="B16" s="7" t="inlineStr">
        <is>
          <t>247582530147494</t>
        </is>
      </c>
      <c r="C16" s="22" t="n">
        <v>46270.76770833333</v>
      </c>
      <c r="D16" s="7" t="inlineStr">
        <is>
          <t>delivered</t>
        </is>
      </c>
      <c r="E16" s="7" t="n"/>
      <c r="F16" s="7" t="inlineStr">
        <is>
          <t>prepaid</t>
        </is>
      </c>
      <c r="G16" s="7" t="inlineStr"/>
      <c r="H16" s="10" t="n">
        <v>720</v>
      </c>
      <c r="I16" s="10" t="n">
        <v>0</v>
      </c>
      <c r="J16" s="10" t="n">
        <v>0</v>
      </c>
      <c r="K16" s="10" t="n">
        <v>0</v>
      </c>
      <c r="L16" s="10" t="n">
        <v>720</v>
      </c>
      <c r="M16" s="10" t="n">
        <v>36</v>
      </c>
      <c r="N16" s="10" t="n">
        <v>720</v>
      </c>
      <c r="O16" s="10" t="n">
        <v>36</v>
      </c>
      <c r="P16" s="10" t="n">
        <v>756</v>
      </c>
      <c r="Q16" s="7" t="inlineStr">
        <is>
          <t>24.0%</t>
        </is>
      </c>
      <c r="R16" s="10" t="n">
        <v>756</v>
      </c>
      <c r="S16" s="10" t="n">
        <v>181.44</v>
      </c>
      <c r="T16" s="10" t="n">
        <v>15.12</v>
      </c>
      <c r="U16" s="10" t="n">
        <v>0</v>
      </c>
      <c r="V16" s="10" t="n">
        <v>231.94</v>
      </c>
      <c r="W16" s="10" t="n">
        <v>0</v>
      </c>
      <c r="X16" s="10" t="n">
        <v>36</v>
      </c>
      <c r="Y16" s="10" t="n">
        <v>35.38</v>
      </c>
      <c r="Z16" s="10" t="n">
        <v>0</v>
      </c>
      <c r="AA16" s="10" t="n">
        <v>0.72</v>
      </c>
      <c r="AB16" s="10" t="n">
        <v>487.34</v>
      </c>
      <c r="AC16" s="7" t="inlineStr">
        <is>
          <t>No</t>
        </is>
      </c>
      <c r="AD16" s="23" t="n">
        <v>2.525</v>
      </c>
      <c r="AE16" s="7" t="inlineStr"/>
      <c r="AF16" s="7" t="inlineStr">
        <is>
          <t>09-09-2026</t>
        </is>
      </c>
    </row>
    <row r="17">
      <c r="A17" s="7" t="inlineStr">
        <is>
          <t>01 – 05 Sep</t>
        </is>
      </c>
      <c r="B17" s="7" t="inlineStr">
        <is>
          <t>247583830189213</t>
        </is>
      </c>
      <c r="C17" s="22" t="n">
        <v>46270.78275462963</v>
      </c>
      <c r="D17" s="7" t="inlineStr">
        <is>
          <t>delivered</t>
        </is>
      </c>
      <c r="E17" s="7" t="n"/>
      <c r="F17" s="7" t="inlineStr">
        <is>
          <t>prepaid</t>
        </is>
      </c>
      <c r="G17" s="7" t="inlineStr"/>
      <c r="H17" s="10" t="n">
        <v>290</v>
      </c>
      <c r="I17" s="10" t="n">
        <v>0</v>
      </c>
      <c r="J17" s="10" t="n">
        <v>0</v>
      </c>
      <c r="K17" s="10" t="n">
        <v>0</v>
      </c>
      <c r="L17" s="10" t="n">
        <v>290</v>
      </c>
      <c r="M17" s="10" t="n">
        <v>14.5</v>
      </c>
      <c r="N17" s="10" t="n">
        <v>290</v>
      </c>
      <c r="O17" s="10" t="n">
        <v>14.5</v>
      </c>
      <c r="P17" s="10" t="n">
        <v>304.5</v>
      </c>
      <c r="Q17" s="7" t="inlineStr">
        <is>
          <t>24.0%</t>
        </is>
      </c>
      <c r="R17" s="10" t="n">
        <v>304.5</v>
      </c>
      <c r="S17" s="10" t="n">
        <v>73.08</v>
      </c>
      <c r="T17" s="10" t="n">
        <v>6.09</v>
      </c>
      <c r="U17" s="10" t="n">
        <v>0</v>
      </c>
      <c r="V17" s="10" t="n">
        <v>93.43000000000001</v>
      </c>
      <c r="W17" s="10" t="n">
        <v>0</v>
      </c>
      <c r="X17" s="10" t="n">
        <v>14.5</v>
      </c>
      <c r="Y17" s="10" t="n">
        <v>14.26</v>
      </c>
      <c r="Z17" s="10" t="n">
        <v>0</v>
      </c>
      <c r="AA17" s="10" t="n">
        <v>0.29</v>
      </c>
      <c r="AB17" s="10" t="n">
        <v>196.3</v>
      </c>
      <c r="AC17" s="7" t="inlineStr">
        <is>
          <t>Yes</t>
        </is>
      </c>
      <c r="AD17" s="23" t="n">
        <v>3.716</v>
      </c>
      <c r="AE17" s="7" t="inlineStr">
        <is>
          <t>206500dc-ba9e-4a58-be62-bb3f830ec1f3</t>
        </is>
      </c>
      <c r="AF17" s="7" t="inlineStr">
        <is>
          <t>09-09-2026</t>
        </is>
      </c>
    </row>
    <row r="18">
      <c r="A18" s="7" t="inlineStr">
        <is>
          <t>01 – 05 Sep</t>
        </is>
      </c>
      <c r="B18" s="7" t="inlineStr">
        <is>
          <t>247584158190137</t>
        </is>
      </c>
      <c r="C18" s="22" t="n">
        <v>46270.78655092593</v>
      </c>
      <c r="D18" s="7" t="inlineStr">
        <is>
          <t>delivered</t>
        </is>
      </c>
      <c r="E18" s="7" t="n"/>
      <c r="F18" s="7" t="inlineStr">
        <is>
          <t>prepaid</t>
        </is>
      </c>
      <c r="G18" s="7" t="inlineStr"/>
      <c r="H18" s="10" t="n">
        <v>270</v>
      </c>
      <c r="I18" s="10" t="n">
        <v>0</v>
      </c>
      <c r="J18" s="10" t="n">
        <v>0</v>
      </c>
      <c r="K18" s="10" t="n">
        <v>0</v>
      </c>
      <c r="L18" s="10" t="n">
        <v>270</v>
      </c>
      <c r="M18" s="10" t="n">
        <v>13.5</v>
      </c>
      <c r="N18" s="10" t="n">
        <v>270</v>
      </c>
      <c r="O18" s="10" t="n">
        <v>13.5</v>
      </c>
      <c r="P18" s="10" t="n">
        <v>283.5</v>
      </c>
      <c r="Q18" s="7" t="inlineStr">
        <is>
          <t>24.0%</t>
        </is>
      </c>
      <c r="R18" s="10" t="n">
        <v>283.5</v>
      </c>
      <c r="S18" s="10" t="n">
        <v>68.04000000000001</v>
      </c>
      <c r="T18" s="10" t="n">
        <v>5.67</v>
      </c>
      <c r="U18" s="10" t="n">
        <v>-0</v>
      </c>
      <c r="V18" s="10" t="n">
        <v>86.97</v>
      </c>
      <c r="W18" s="10" t="n">
        <v>0</v>
      </c>
      <c r="X18" s="10" t="n">
        <v>13.5</v>
      </c>
      <c r="Y18" s="10" t="n">
        <v>13.26</v>
      </c>
      <c r="Z18" s="10" t="n">
        <v>0</v>
      </c>
      <c r="AA18" s="10" t="n">
        <v>0.27</v>
      </c>
      <c r="AB18" s="10" t="n">
        <v>182.74</v>
      </c>
      <c r="AC18" s="7" t="inlineStr">
        <is>
          <t>No</t>
        </is>
      </c>
      <c r="AD18" s="23" t="n">
        <v>3.324</v>
      </c>
      <c r="AE18" s="7" t="inlineStr"/>
      <c r="AF18" s="7" t="inlineStr">
        <is>
          <t>09-09-2026</t>
        </is>
      </c>
    </row>
    <row r="19">
      <c r="A19" s="7" t="inlineStr">
        <is>
          <t>01 – 05 Sep</t>
        </is>
      </c>
      <c r="B19" s="7" t="inlineStr">
        <is>
          <t>247590276173308</t>
        </is>
      </c>
      <c r="C19" s="22" t="n">
        <v>46270.85736111111</v>
      </c>
      <c r="D19" s="7" t="inlineStr">
        <is>
          <t>delivered</t>
        </is>
      </c>
      <c r="E19" s="7" t="n"/>
      <c r="F19" s="7" t="inlineStr">
        <is>
          <t>prepaid</t>
        </is>
      </c>
      <c r="G19" s="7" t="inlineStr"/>
      <c r="H19" s="10" t="n">
        <v>330</v>
      </c>
      <c r="I19" s="10" t="n">
        <v>0</v>
      </c>
      <c r="J19" s="10" t="n">
        <v>0</v>
      </c>
      <c r="K19" s="10" t="n">
        <v>0</v>
      </c>
      <c r="L19" s="10" t="n">
        <v>330</v>
      </c>
      <c r="M19" s="10" t="n">
        <v>16.5</v>
      </c>
      <c r="N19" s="10" t="n">
        <v>330</v>
      </c>
      <c r="O19" s="10" t="n">
        <v>16.5</v>
      </c>
      <c r="P19" s="10" t="n">
        <v>346.5</v>
      </c>
      <c r="Q19" s="7" t="inlineStr">
        <is>
          <t>24.0%</t>
        </is>
      </c>
      <c r="R19" s="10" t="n">
        <v>346.5</v>
      </c>
      <c r="S19" s="10" t="n">
        <v>83.16</v>
      </c>
      <c r="T19" s="10" t="n">
        <v>6.93</v>
      </c>
      <c r="U19" s="10" t="n">
        <v>0</v>
      </c>
      <c r="V19" s="10" t="n">
        <v>106.31</v>
      </c>
      <c r="W19" s="10" t="n">
        <v>0</v>
      </c>
      <c r="X19" s="10" t="n">
        <v>16.5</v>
      </c>
      <c r="Y19" s="10" t="n">
        <v>16.22</v>
      </c>
      <c r="Z19" s="10" t="n">
        <v>0</v>
      </c>
      <c r="AA19" s="10" t="n">
        <v>0.33</v>
      </c>
      <c r="AB19" s="10" t="n">
        <v>223.36</v>
      </c>
      <c r="AC19" s="7" t="inlineStr">
        <is>
          <t>Yes</t>
        </is>
      </c>
      <c r="AD19" s="23" t="n">
        <v>10.538</v>
      </c>
      <c r="AE19" s="7" t="inlineStr"/>
      <c r="AF19" s="7" t="inlineStr">
        <is>
          <t>09-09-2026</t>
        </is>
      </c>
    </row>
    <row r="20">
      <c r="A20" s="7" t="inlineStr">
        <is>
          <t>01 – 05 Sep</t>
        </is>
      </c>
      <c r="B20" s="7" t="inlineStr">
        <is>
          <t>247590423179878</t>
        </is>
      </c>
      <c r="C20" s="22" t="n">
        <v>46270.8590625</v>
      </c>
      <c r="D20" s="7" t="inlineStr">
        <is>
          <t>delivered</t>
        </is>
      </c>
      <c r="E20" s="7" t="n"/>
      <c r="F20" s="7" t="inlineStr">
        <is>
          <t>prepaid</t>
        </is>
      </c>
      <c r="G20" s="7" t="inlineStr"/>
      <c r="H20" s="10" t="n">
        <v>900</v>
      </c>
      <c r="I20" s="10" t="n">
        <v>0</v>
      </c>
      <c r="J20" s="10" t="n">
        <v>0</v>
      </c>
      <c r="K20" s="10" t="n">
        <v>0</v>
      </c>
      <c r="L20" s="10" t="n">
        <v>900</v>
      </c>
      <c r="M20" s="10" t="n">
        <v>45</v>
      </c>
      <c r="N20" s="10" t="n">
        <v>900</v>
      </c>
      <c r="O20" s="10" t="n">
        <v>45</v>
      </c>
      <c r="P20" s="10" t="n">
        <v>945</v>
      </c>
      <c r="Q20" s="7" t="inlineStr">
        <is>
          <t>24.0%</t>
        </is>
      </c>
      <c r="R20" s="10" t="n">
        <v>945</v>
      </c>
      <c r="S20" s="10" t="n">
        <v>226.8</v>
      </c>
      <c r="T20" s="10" t="n">
        <v>18.9</v>
      </c>
      <c r="U20" s="10" t="n">
        <v>0</v>
      </c>
      <c r="V20" s="10" t="n">
        <v>289.92</v>
      </c>
      <c r="W20" s="10" t="n">
        <v>0</v>
      </c>
      <c r="X20" s="10" t="n">
        <v>45</v>
      </c>
      <c r="Y20" s="10" t="n">
        <v>44.22</v>
      </c>
      <c r="Z20" s="10" t="n">
        <v>0</v>
      </c>
      <c r="AA20" s="10" t="n">
        <v>0.9</v>
      </c>
      <c r="AB20" s="10" t="n">
        <v>609.16</v>
      </c>
      <c r="AC20" s="7" t="inlineStr">
        <is>
          <t>Yes</t>
        </is>
      </c>
      <c r="AD20" s="23" t="n">
        <v>8.710000000000001</v>
      </c>
      <c r="AE20" s="7" t="inlineStr"/>
      <c r="AF20" s="7" t="inlineStr">
        <is>
          <t>09-09-2026</t>
        </is>
      </c>
    </row>
    <row r="21">
      <c r="A21" s="11" t="inlineStr">
        <is>
          <t>06 – 12 Sep</t>
        </is>
      </c>
      <c r="B21" s="11" t="inlineStr">
        <is>
          <t>247653274135811</t>
        </is>
      </c>
      <c r="C21" s="28" t="n">
        <v>46271.58650462963</v>
      </c>
      <c r="D21" s="11" t="inlineStr">
        <is>
          <t>delivered</t>
        </is>
      </c>
      <c r="E21" s="11" t="n"/>
      <c r="F21" s="11" t="inlineStr">
        <is>
          <t>prepaid</t>
        </is>
      </c>
      <c r="G21" s="11" t="inlineStr"/>
      <c r="H21" s="14" t="n">
        <v>600</v>
      </c>
      <c r="I21" s="14" t="n">
        <v>0</v>
      </c>
      <c r="J21" s="14" t="n">
        <v>0</v>
      </c>
      <c r="K21" s="14" t="n">
        <v>0</v>
      </c>
      <c r="L21" s="14" t="n">
        <v>600</v>
      </c>
      <c r="M21" s="14" t="n">
        <v>30</v>
      </c>
      <c r="N21" s="14" t="n">
        <v>600</v>
      </c>
      <c r="O21" s="14" t="n">
        <v>30</v>
      </c>
      <c r="P21" s="14" t="n">
        <v>630</v>
      </c>
      <c r="Q21" s="11" t="inlineStr">
        <is>
          <t>24.0%</t>
        </is>
      </c>
      <c r="R21" s="14" t="n">
        <v>630</v>
      </c>
      <c r="S21" s="14" t="n">
        <v>151.2</v>
      </c>
      <c r="T21" s="14" t="n">
        <v>12.6</v>
      </c>
      <c r="U21" s="14" t="n">
        <v>0</v>
      </c>
      <c r="V21" s="14" t="n">
        <v>193.28</v>
      </c>
      <c r="W21" s="14" t="n">
        <v>0</v>
      </c>
      <c r="X21" s="14" t="n">
        <v>30</v>
      </c>
      <c r="Y21" s="14" t="n">
        <v>29.48</v>
      </c>
      <c r="Z21" s="14" t="n">
        <v>0</v>
      </c>
      <c r="AA21" s="14" t="n">
        <v>0.6</v>
      </c>
      <c r="AB21" s="14" t="n">
        <v>406.12</v>
      </c>
      <c r="AC21" s="11" t="inlineStr">
        <is>
          <t>Yes</t>
        </is>
      </c>
      <c r="AD21" s="29" t="n">
        <v>2.612</v>
      </c>
      <c r="AE21" s="11" t="inlineStr">
        <is>
          <t>206500dc-ba9e-4a58-be62-bb3f830ec1f3</t>
        </is>
      </c>
      <c r="AF21" s="11" t="inlineStr">
        <is>
          <t>16-09-2026</t>
        </is>
      </c>
    </row>
    <row r="22">
      <c r="A22" s="11" t="inlineStr">
        <is>
          <t>06 – 12 Sep</t>
        </is>
      </c>
      <c r="B22" s="11" t="inlineStr">
        <is>
          <t>247668517120241</t>
        </is>
      </c>
      <c r="C22" s="28" t="n">
        <v>46271.76292824074</v>
      </c>
      <c r="D22" s="11" t="inlineStr">
        <is>
          <t>delivered</t>
        </is>
      </c>
      <c r="E22" s="11" t="n"/>
      <c r="F22" s="11" t="inlineStr">
        <is>
          <t>prepaid</t>
        </is>
      </c>
      <c r="G22" s="11" t="inlineStr"/>
      <c r="H22" s="14" t="n">
        <v>670</v>
      </c>
      <c r="I22" s="14" t="n">
        <v>0</v>
      </c>
      <c r="J22" s="14" t="n">
        <v>0</v>
      </c>
      <c r="K22" s="14" t="n">
        <v>0</v>
      </c>
      <c r="L22" s="14" t="n">
        <v>670</v>
      </c>
      <c r="M22" s="14" t="n">
        <v>33.5</v>
      </c>
      <c r="N22" s="14" t="n">
        <v>670</v>
      </c>
      <c r="O22" s="14" t="n">
        <v>33.5</v>
      </c>
      <c r="P22" s="14" t="n">
        <v>703.5</v>
      </c>
      <c r="Q22" s="11" t="inlineStr">
        <is>
          <t>24.0%</t>
        </is>
      </c>
      <c r="R22" s="14" t="n">
        <v>703.5</v>
      </c>
      <c r="S22" s="14" t="n">
        <v>168.84</v>
      </c>
      <c r="T22" s="14" t="n">
        <v>14.07</v>
      </c>
      <c r="U22" s="14" t="n">
        <v>0</v>
      </c>
      <c r="V22" s="14" t="n">
        <v>215.83</v>
      </c>
      <c r="W22" s="14" t="n">
        <v>0</v>
      </c>
      <c r="X22" s="14" t="n">
        <v>33.5</v>
      </c>
      <c r="Y22" s="14" t="n">
        <v>32.92</v>
      </c>
      <c r="Z22" s="14" t="n">
        <v>0</v>
      </c>
      <c r="AA22" s="14" t="n">
        <v>0.67</v>
      </c>
      <c r="AB22" s="14" t="n">
        <v>453.5</v>
      </c>
      <c r="AC22" s="11" t="inlineStr">
        <is>
          <t>Yes</t>
        </is>
      </c>
      <c r="AD22" s="29" t="n">
        <v>2.9</v>
      </c>
      <c r="AE22" s="11" t="inlineStr">
        <is>
          <t>206500dc-ba9e-4a58-be62-bb3f830ec1f3</t>
        </is>
      </c>
      <c r="AF22" s="11" t="inlineStr">
        <is>
          <t>16-09-2026</t>
        </is>
      </c>
    </row>
    <row r="23">
      <c r="A23" s="11" t="inlineStr">
        <is>
          <t>06 – 12 Sep</t>
        </is>
      </c>
      <c r="B23" s="11" t="inlineStr">
        <is>
          <t>247674582127158</t>
        </is>
      </c>
      <c r="C23" s="28" t="n">
        <v>46271.833125</v>
      </c>
      <c r="D23" s="11" t="inlineStr">
        <is>
          <t>delivered</t>
        </is>
      </c>
      <c r="E23" s="11" t="n"/>
      <c r="F23" s="11" t="inlineStr">
        <is>
          <t>prepaid</t>
        </is>
      </c>
      <c r="G23" s="11" t="inlineStr">
        <is>
          <t>PAYTMUPI</t>
        </is>
      </c>
      <c r="H23" s="14" t="n">
        <v>310</v>
      </c>
      <c r="I23" s="14" t="n">
        <v>0</v>
      </c>
      <c r="J23" s="14" t="n">
        <v>0</v>
      </c>
      <c r="K23" s="14" t="n">
        <v>0</v>
      </c>
      <c r="L23" s="14" t="n">
        <v>310</v>
      </c>
      <c r="M23" s="14" t="n">
        <v>15.5</v>
      </c>
      <c r="N23" s="14" t="n">
        <v>310</v>
      </c>
      <c r="O23" s="14" t="n">
        <v>15.5</v>
      </c>
      <c r="P23" s="14" t="n">
        <v>325.5</v>
      </c>
      <c r="Q23" s="11" t="inlineStr">
        <is>
          <t>24.0%</t>
        </is>
      </c>
      <c r="R23" s="14" t="n">
        <v>325.5</v>
      </c>
      <c r="S23" s="14" t="n">
        <v>78.12</v>
      </c>
      <c r="T23" s="14" t="n">
        <v>6.51</v>
      </c>
      <c r="U23" s="14" t="n">
        <v>0</v>
      </c>
      <c r="V23" s="14" t="n">
        <v>99.87</v>
      </c>
      <c r="W23" s="14" t="n">
        <v>0</v>
      </c>
      <c r="X23" s="14" t="n">
        <v>15.5</v>
      </c>
      <c r="Y23" s="14" t="n">
        <v>15.24</v>
      </c>
      <c r="Z23" s="14" t="n">
        <v>0</v>
      </c>
      <c r="AA23" s="14" t="n">
        <v>0.31</v>
      </c>
      <c r="AB23" s="14" t="n">
        <v>209.84</v>
      </c>
      <c r="AC23" s="11" t="inlineStr">
        <is>
          <t>Yes</t>
        </is>
      </c>
      <c r="AD23" s="29" t="n">
        <v>3.723</v>
      </c>
      <c r="AE23" s="11" t="inlineStr">
        <is>
          <t>206500dc-ba9e-4a58-be62-bb3f830ec1f3</t>
        </is>
      </c>
      <c r="AF23" s="11" t="inlineStr">
        <is>
          <t>16-09-2026</t>
        </is>
      </c>
    </row>
    <row r="24">
      <c r="A24" s="11" t="inlineStr">
        <is>
          <t>06 – 12 Sep</t>
        </is>
      </c>
      <c r="B24" s="11" t="inlineStr">
        <is>
          <t>247683573170717</t>
        </is>
      </c>
      <c r="C24" s="28" t="n">
        <v>46271.9371875</v>
      </c>
      <c r="D24" s="11" t="inlineStr">
        <is>
          <t>delivered</t>
        </is>
      </c>
      <c r="E24" s="11" t="n"/>
      <c r="F24" s="11" t="inlineStr">
        <is>
          <t>cash</t>
        </is>
      </c>
      <c r="G24" s="11" t="inlineStr"/>
      <c r="H24" s="14" t="n">
        <v>565</v>
      </c>
      <c r="I24" s="14" t="n">
        <v>0</v>
      </c>
      <c r="J24" s="14" t="n">
        <v>0</v>
      </c>
      <c r="K24" s="14" t="n">
        <v>0</v>
      </c>
      <c r="L24" s="14" t="n">
        <v>565</v>
      </c>
      <c r="M24" s="14" t="n">
        <v>28.26</v>
      </c>
      <c r="N24" s="14" t="n">
        <v>565</v>
      </c>
      <c r="O24" s="14" t="n">
        <v>28.25</v>
      </c>
      <c r="P24" s="14" t="n">
        <v>593.26</v>
      </c>
      <c r="Q24" s="11" t="inlineStr">
        <is>
          <t>24.0%</t>
        </is>
      </c>
      <c r="R24" s="14" t="n">
        <v>593.24</v>
      </c>
      <c r="S24" s="14" t="n">
        <v>142.38</v>
      </c>
      <c r="T24" s="14" t="n">
        <v>11.86</v>
      </c>
      <c r="U24" s="14" t="n">
        <v>0</v>
      </c>
      <c r="V24" s="14" t="n">
        <v>182</v>
      </c>
      <c r="W24" s="14" t="n">
        <v>0</v>
      </c>
      <c r="X24" s="14" t="n">
        <v>28.25</v>
      </c>
      <c r="Y24" s="14" t="n">
        <v>27.76</v>
      </c>
      <c r="Z24" s="14" t="n">
        <v>0</v>
      </c>
      <c r="AA24" s="14" t="n">
        <v>0.57</v>
      </c>
      <c r="AB24" s="14" t="n">
        <v>382.43</v>
      </c>
      <c r="AC24" s="11" t="inlineStr">
        <is>
          <t>Yes</t>
        </is>
      </c>
      <c r="AD24" s="29" t="n">
        <v>5.161</v>
      </c>
      <c r="AE24" s="11" t="inlineStr">
        <is>
          <t>206500dc-ba9e-4a58-be62-bb3f830ec1f3</t>
        </is>
      </c>
      <c r="AF24" s="11" t="inlineStr">
        <is>
          <t>16-09-2026</t>
        </is>
      </c>
    </row>
    <row r="25">
      <c r="A25" s="11" t="inlineStr">
        <is>
          <t>06 – 12 Sep</t>
        </is>
      </c>
      <c r="B25" s="11" t="inlineStr">
        <is>
          <t>247752547197193</t>
        </is>
      </c>
      <c r="C25" s="28" t="n">
        <v>46272.73549768519</v>
      </c>
      <c r="D25" s="11" t="inlineStr">
        <is>
          <t>delivered</t>
        </is>
      </c>
      <c r="E25" s="11" t="n"/>
      <c r="F25" s="11" t="inlineStr">
        <is>
          <t>prepaid</t>
        </is>
      </c>
      <c r="G25" s="11" t="inlineStr"/>
      <c r="H25" s="14" t="n">
        <v>630</v>
      </c>
      <c r="I25" s="14" t="n">
        <v>0</v>
      </c>
      <c r="J25" s="14" t="n">
        <v>0</v>
      </c>
      <c r="K25" s="14" t="n">
        <v>0</v>
      </c>
      <c r="L25" s="14" t="n">
        <v>630</v>
      </c>
      <c r="M25" s="14" t="n">
        <v>31.5</v>
      </c>
      <c r="N25" s="14" t="n">
        <v>630</v>
      </c>
      <c r="O25" s="14" t="n">
        <v>31.5</v>
      </c>
      <c r="P25" s="14" t="n">
        <v>661.5</v>
      </c>
      <c r="Q25" s="11" t="inlineStr">
        <is>
          <t>24.0%</t>
        </is>
      </c>
      <c r="R25" s="14" t="n">
        <v>661.5</v>
      </c>
      <c r="S25" s="14" t="n">
        <v>158.76</v>
      </c>
      <c r="T25" s="14" t="n">
        <v>13.23</v>
      </c>
      <c r="U25" s="14" t="n">
        <v>-0</v>
      </c>
      <c r="V25" s="14" t="n">
        <v>202.95</v>
      </c>
      <c r="W25" s="14" t="n">
        <v>0</v>
      </c>
      <c r="X25" s="14" t="n">
        <v>31.5</v>
      </c>
      <c r="Y25" s="14" t="n">
        <v>30.96</v>
      </c>
      <c r="Z25" s="14" t="n">
        <v>0</v>
      </c>
      <c r="AA25" s="14" t="n">
        <v>0.63</v>
      </c>
      <c r="AB25" s="14" t="n">
        <v>426.42</v>
      </c>
      <c r="AC25" s="11" t="inlineStr">
        <is>
          <t>No</t>
        </is>
      </c>
      <c r="AD25" s="29" t="n">
        <v>2.796</v>
      </c>
      <c r="AE25" s="11" t="inlineStr"/>
      <c r="AF25" s="11" t="inlineStr">
        <is>
          <t>16-09-2026</t>
        </is>
      </c>
    </row>
    <row r="26">
      <c r="A26" s="11" t="inlineStr">
        <is>
          <t>06 – 12 Sep</t>
        </is>
      </c>
      <c r="B26" s="11" t="inlineStr">
        <is>
          <t>247765465110530</t>
        </is>
      </c>
      <c r="C26" s="28" t="n">
        <v>46272.88501157407</v>
      </c>
      <c r="D26" s="11" t="inlineStr">
        <is>
          <t>delivered</t>
        </is>
      </c>
      <c r="E26" s="11" t="n"/>
      <c r="F26" s="11" t="inlineStr">
        <is>
          <t>cash</t>
        </is>
      </c>
      <c r="G26" s="11" t="inlineStr">
        <is>
          <t>VALUE4U</t>
        </is>
      </c>
      <c r="H26" s="14" t="n">
        <v>270</v>
      </c>
      <c r="I26" s="14" t="n">
        <v>0</v>
      </c>
      <c r="J26" s="14" t="n">
        <v>0</v>
      </c>
      <c r="K26" s="14" t="n">
        <v>0</v>
      </c>
      <c r="L26" s="14" t="n">
        <v>270</v>
      </c>
      <c r="M26" s="14" t="n">
        <v>13.5</v>
      </c>
      <c r="N26" s="14" t="n">
        <v>270</v>
      </c>
      <c r="O26" s="14" t="n">
        <v>13.5</v>
      </c>
      <c r="P26" s="14" t="n">
        <v>283.5</v>
      </c>
      <c r="Q26" s="11" t="inlineStr">
        <is>
          <t>24.0%</t>
        </is>
      </c>
      <c r="R26" s="14" t="n">
        <v>283.5</v>
      </c>
      <c r="S26" s="14" t="n">
        <v>68.04000000000001</v>
      </c>
      <c r="T26" s="14" t="n">
        <v>5.67</v>
      </c>
      <c r="U26" s="14" t="n">
        <v>-0</v>
      </c>
      <c r="V26" s="14" t="n">
        <v>86.97</v>
      </c>
      <c r="W26" s="14" t="n">
        <v>0</v>
      </c>
      <c r="X26" s="14" t="n">
        <v>13.5</v>
      </c>
      <c r="Y26" s="14" t="n">
        <v>13.26</v>
      </c>
      <c r="Z26" s="14" t="n">
        <v>0</v>
      </c>
      <c r="AA26" s="14" t="n">
        <v>0.27</v>
      </c>
      <c r="AB26" s="14" t="n">
        <v>182.74</v>
      </c>
      <c r="AC26" s="11" t="inlineStr">
        <is>
          <t>Yes</t>
        </is>
      </c>
      <c r="AD26" s="29" t="n">
        <v>3.693</v>
      </c>
      <c r="AE26" s="11" t="inlineStr">
        <is>
          <t>711fc754-4304-4178-a84a-19e7d53c8509,e0ba8477-d320-4c5f-9502-12b02892e11b</t>
        </is>
      </c>
      <c r="AF26" s="11" t="inlineStr">
        <is>
          <t>16-09-2026</t>
        </is>
      </c>
    </row>
    <row r="27">
      <c r="A27" s="11" t="inlineStr">
        <is>
          <t>06 – 12 Sep</t>
        </is>
      </c>
      <c r="B27" s="11" t="inlineStr">
        <is>
          <t>247765875191830</t>
        </is>
      </c>
      <c r="C27" s="28" t="n">
        <v>46272.88975694445</v>
      </c>
      <c r="D27" s="11" t="inlineStr">
        <is>
          <t>delivered</t>
        </is>
      </c>
      <c r="E27" s="11" t="n"/>
      <c r="F27" s="11" t="inlineStr">
        <is>
          <t>prepaid</t>
        </is>
      </c>
      <c r="G27" s="11" t="inlineStr"/>
      <c r="H27" s="14" t="n">
        <v>310</v>
      </c>
      <c r="I27" s="14" t="n">
        <v>0</v>
      </c>
      <c r="J27" s="14" t="n">
        <v>0</v>
      </c>
      <c r="K27" s="14" t="n">
        <v>0</v>
      </c>
      <c r="L27" s="14" t="n">
        <v>310</v>
      </c>
      <c r="M27" s="14" t="n">
        <v>15.5</v>
      </c>
      <c r="N27" s="14" t="n">
        <v>310</v>
      </c>
      <c r="O27" s="14" t="n">
        <v>15.5</v>
      </c>
      <c r="P27" s="14" t="n">
        <v>325.5</v>
      </c>
      <c r="Q27" s="11" t="inlineStr">
        <is>
          <t>24.0%</t>
        </is>
      </c>
      <c r="R27" s="14" t="n">
        <v>325.5</v>
      </c>
      <c r="S27" s="14" t="n">
        <v>78.12</v>
      </c>
      <c r="T27" s="14" t="n">
        <v>6.51</v>
      </c>
      <c r="U27" s="14" t="n">
        <v>0</v>
      </c>
      <c r="V27" s="14" t="n">
        <v>99.87</v>
      </c>
      <c r="W27" s="14" t="n">
        <v>0</v>
      </c>
      <c r="X27" s="14" t="n">
        <v>15.5</v>
      </c>
      <c r="Y27" s="14" t="n">
        <v>15.24</v>
      </c>
      <c r="Z27" s="14" t="n">
        <v>0</v>
      </c>
      <c r="AA27" s="14" t="n">
        <v>0.31</v>
      </c>
      <c r="AB27" s="14" t="n">
        <v>209.84</v>
      </c>
      <c r="AC27" s="11" t="inlineStr">
        <is>
          <t>Yes</t>
        </is>
      </c>
      <c r="AD27" s="29" t="n">
        <v>3.298</v>
      </c>
      <c r="AE27" s="11" t="inlineStr">
        <is>
          <t>206500dc-ba9e-4a58-be62-bb3f830ec1f3</t>
        </is>
      </c>
      <c r="AF27" s="11" t="inlineStr">
        <is>
          <t>16-09-2026</t>
        </is>
      </c>
    </row>
    <row r="28">
      <c r="A28" s="11" t="inlineStr">
        <is>
          <t>06 – 12 Sep</t>
        </is>
      </c>
      <c r="B28" s="11" t="inlineStr">
        <is>
          <t>247767149191066</t>
        </is>
      </c>
      <c r="C28" s="28" t="n">
        <v>46272.90450231481</v>
      </c>
      <c r="D28" s="11" t="inlineStr">
        <is>
          <t>delivered</t>
        </is>
      </c>
      <c r="E28" s="11" t="n"/>
      <c r="F28" s="11" t="inlineStr">
        <is>
          <t>prepaid</t>
        </is>
      </c>
      <c r="G28" s="11" t="inlineStr"/>
      <c r="H28" s="14" t="n">
        <v>370</v>
      </c>
      <c r="I28" s="14" t="n">
        <v>0</v>
      </c>
      <c r="J28" s="14" t="n">
        <v>0</v>
      </c>
      <c r="K28" s="14" t="n">
        <v>0</v>
      </c>
      <c r="L28" s="14" t="n">
        <v>370</v>
      </c>
      <c r="M28" s="14" t="n">
        <v>18.5</v>
      </c>
      <c r="N28" s="14" t="n">
        <v>370</v>
      </c>
      <c r="O28" s="14" t="n">
        <v>18.5</v>
      </c>
      <c r="P28" s="14" t="n">
        <v>388.5</v>
      </c>
      <c r="Q28" s="11" t="inlineStr">
        <is>
          <t>24.0%</t>
        </is>
      </c>
      <c r="R28" s="14" t="n">
        <v>388.5</v>
      </c>
      <c r="S28" s="14" t="n">
        <v>93.23999999999999</v>
      </c>
      <c r="T28" s="14" t="n">
        <v>7.77</v>
      </c>
      <c r="U28" s="14" t="n">
        <v>0</v>
      </c>
      <c r="V28" s="14" t="n">
        <v>119.19</v>
      </c>
      <c r="W28" s="14" t="n">
        <v>0</v>
      </c>
      <c r="X28" s="14" t="n">
        <v>18.5</v>
      </c>
      <c r="Y28" s="14" t="n">
        <v>18.18</v>
      </c>
      <c r="Z28" s="14" t="n">
        <v>0</v>
      </c>
      <c r="AA28" s="14" t="n">
        <v>0.37</v>
      </c>
      <c r="AB28" s="14" t="n">
        <v>250.44</v>
      </c>
      <c r="AC28" s="11" t="inlineStr">
        <is>
          <t>Yes</t>
        </is>
      </c>
      <c r="AD28" s="29" t="n">
        <v>3.048</v>
      </c>
      <c r="AE28" s="11" t="inlineStr">
        <is>
          <t>206500dc-ba9e-4a58-be62-bb3f830ec1f3</t>
        </is>
      </c>
      <c r="AF28" s="11" t="inlineStr">
        <is>
          <t>16-09-2026</t>
        </is>
      </c>
    </row>
    <row r="29">
      <c r="A29" s="11" t="inlineStr">
        <is>
          <t>06 – 12 Sep</t>
        </is>
      </c>
      <c r="B29" s="11" t="inlineStr">
        <is>
          <t>247833210169323</t>
        </is>
      </c>
      <c r="C29" s="28" t="n">
        <v>46273.66909722222</v>
      </c>
      <c r="D29" s="11" t="inlineStr">
        <is>
          <t>delivered</t>
        </is>
      </c>
      <c r="E29" s="11" t="n"/>
      <c r="F29" s="11" t="inlineStr">
        <is>
          <t>prepaid</t>
        </is>
      </c>
      <c r="G29" s="11" t="inlineStr"/>
      <c r="H29" s="14" t="n">
        <v>255</v>
      </c>
      <c r="I29" s="14" t="n">
        <v>0</v>
      </c>
      <c r="J29" s="14" t="n">
        <v>0</v>
      </c>
      <c r="K29" s="14" t="n">
        <v>0</v>
      </c>
      <c r="L29" s="14" t="n">
        <v>255</v>
      </c>
      <c r="M29" s="14" t="n">
        <v>12.76</v>
      </c>
      <c r="N29" s="14" t="n">
        <v>255</v>
      </c>
      <c r="O29" s="14" t="n">
        <v>12.75</v>
      </c>
      <c r="P29" s="14" t="n">
        <v>267.76</v>
      </c>
      <c r="Q29" s="11" t="inlineStr">
        <is>
          <t>24.0%</t>
        </is>
      </c>
      <c r="R29" s="14" t="n">
        <v>267.76</v>
      </c>
      <c r="S29" s="14" t="n">
        <v>64.26000000000001</v>
      </c>
      <c r="T29" s="14" t="n">
        <v>5.36</v>
      </c>
      <c r="U29" s="14" t="n">
        <v>-0</v>
      </c>
      <c r="V29" s="14" t="n">
        <v>82.16</v>
      </c>
      <c r="W29" s="14" t="n">
        <v>0</v>
      </c>
      <c r="X29" s="14" t="n">
        <v>12.75</v>
      </c>
      <c r="Y29" s="14" t="n">
        <v>12.54</v>
      </c>
      <c r="Z29" s="14" t="n">
        <v>0</v>
      </c>
      <c r="AA29" s="14" t="n">
        <v>0.26</v>
      </c>
      <c r="AB29" s="14" t="n">
        <v>172.6</v>
      </c>
      <c r="AC29" s="11" t="inlineStr">
        <is>
          <t>Yes</t>
        </is>
      </c>
      <c r="AD29" s="29" t="n">
        <v>3.598</v>
      </c>
      <c r="AE29" s="11" t="inlineStr">
        <is>
          <t>206500dc-ba9e-4a58-be62-bb3f830ec1f3</t>
        </is>
      </c>
      <c r="AF29" s="11" t="inlineStr">
        <is>
          <t>16-09-2026</t>
        </is>
      </c>
    </row>
    <row r="30">
      <c r="A30" s="11" t="inlineStr">
        <is>
          <t>06 – 12 Sep</t>
        </is>
      </c>
      <c r="B30" s="11" t="inlineStr">
        <is>
          <t>247838264152884</t>
        </is>
      </c>
      <c r="C30" s="28" t="n">
        <v>46273.72759259259</v>
      </c>
      <c r="D30" s="11" t="inlineStr">
        <is>
          <t>delivered</t>
        </is>
      </c>
      <c r="E30" s="11" t="n"/>
      <c r="F30" s="11" t="inlineStr">
        <is>
          <t>prepaid</t>
        </is>
      </c>
      <c r="G30" s="11" t="inlineStr"/>
      <c r="H30" s="14" t="n">
        <v>270</v>
      </c>
      <c r="I30" s="14" t="n">
        <v>0</v>
      </c>
      <c r="J30" s="14" t="n">
        <v>0</v>
      </c>
      <c r="K30" s="14" t="n">
        <v>0</v>
      </c>
      <c r="L30" s="14" t="n">
        <v>270</v>
      </c>
      <c r="M30" s="14" t="n">
        <v>13.5</v>
      </c>
      <c r="N30" s="14" t="n">
        <v>270</v>
      </c>
      <c r="O30" s="14" t="n">
        <v>13.5</v>
      </c>
      <c r="P30" s="14" t="n">
        <v>283.5</v>
      </c>
      <c r="Q30" s="11" t="inlineStr">
        <is>
          <t>24.0%</t>
        </is>
      </c>
      <c r="R30" s="14" t="n">
        <v>283.5</v>
      </c>
      <c r="S30" s="14" t="n">
        <v>68.04000000000001</v>
      </c>
      <c r="T30" s="14" t="n">
        <v>5.67</v>
      </c>
      <c r="U30" s="14" t="n">
        <v>-0</v>
      </c>
      <c r="V30" s="14" t="n">
        <v>86.97</v>
      </c>
      <c r="W30" s="14" t="n">
        <v>0</v>
      </c>
      <c r="X30" s="14" t="n">
        <v>13.5</v>
      </c>
      <c r="Y30" s="14" t="n">
        <v>13.26</v>
      </c>
      <c r="Z30" s="14" t="n">
        <v>0</v>
      </c>
      <c r="AA30" s="14" t="n">
        <v>0.27</v>
      </c>
      <c r="AB30" s="14" t="n">
        <v>182.74</v>
      </c>
      <c r="AC30" s="11" t="inlineStr">
        <is>
          <t>Yes</t>
        </is>
      </c>
      <c r="AD30" s="29" t="n">
        <v>5.225</v>
      </c>
      <c r="AE30" s="11" t="inlineStr">
        <is>
          <t>206500dc-ba9e-4a58-be62-bb3f830ec1f3</t>
        </is>
      </c>
      <c r="AF30" s="11" t="inlineStr">
        <is>
          <t>16-09-2026</t>
        </is>
      </c>
    </row>
    <row r="31">
      <c r="A31" s="11" t="inlineStr">
        <is>
          <t>06 – 12 Sep</t>
        </is>
      </c>
      <c r="B31" s="11" t="inlineStr">
        <is>
          <t>247852755180183</t>
        </is>
      </c>
      <c r="C31" s="28" t="n">
        <v>46273.8953125</v>
      </c>
      <c r="D31" s="11" t="inlineStr">
        <is>
          <t>delivered</t>
        </is>
      </c>
      <c r="E31" s="11" t="n"/>
      <c r="F31" s="11" t="inlineStr">
        <is>
          <t>prepaid</t>
        </is>
      </c>
      <c r="G31" s="11" t="inlineStr">
        <is>
          <t>AMAZONPAYLATER</t>
        </is>
      </c>
      <c r="H31" s="14" t="n">
        <v>300</v>
      </c>
      <c r="I31" s="14" t="n">
        <v>0</v>
      </c>
      <c r="J31" s="14" t="n">
        <v>0</v>
      </c>
      <c r="K31" s="14" t="n">
        <v>0</v>
      </c>
      <c r="L31" s="14" t="n">
        <v>300</v>
      </c>
      <c r="M31" s="14" t="n">
        <v>15</v>
      </c>
      <c r="N31" s="14" t="n">
        <v>300</v>
      </c>
      <c r="O31" s="14" t="n">
        <v>15</v>
      </c>
      <c r="P31" s="14" t="n">
        <v>315</v>
      </c>
      <c r="Q31" s="11" t="inlineStr">
        <is>
          <t>24.0%</t>
        </is>
      </c>
      <c r="R31" s="14" t="n">
        <v>315</v>
      </c>
      <c r="S31" s="14" t="n">
        <v>75.59999999999999</v>
      </c>
      <c r="T31" s="14" t="n">
        <v>6.3</v>
      </c>
      <c r="U31" s="14" t="n">
        <v>0</v>
      </c>
      <c r="V31" s="14" t="n">
        <v>96.64</v>
      </c>
      <c r="W31" s="14" t="n">
        <v>0</v>
      </c>
      <c r="X31" s="14" t="n">
        <v>15</v>
      </c>
      <c r="Y31" s="14" t="n">
        <v>14.74</v>
      </c>
      <c r="Z31" s="14" t="n">
        <v>0</v>
      </c>
      <c r="AA31" s="14" t="n">
        <v>0.3</v>
      </c>
      <c r="AB31" s="14" t="n">
        <v>203.06</v>
      </c>
      <c r="AC31" s="11" t="inlineStr">
        <is>
          <t>Yes</t>
        </is>
      </c>
      <c r="AD31" s="29" t="n">
        <v>3.112</v>
      </c>
      <c r="AE31" s="11" t="inlineStr">
        <is>
          <t>206500dc-ba9e-4a58-be62-bb3f830ec1f3</t>
        </is>
      </c>
      <c r="AF31" s="11" t="inlineStr">
        <is>
          <t>16-09-2026</t>
        </is>
      </c>
    </row>
    <row r="32">
      <c r="A32" s="11" t="inlineStr">
        <is>
          <t>06 – 12 Sep</t>
        </is>
      </c>
      <c r="B32" s="11" t="inlineStr">
        <is>
          <t>247935737106454</t>
        </is>
      </c>
      <c r="C32" s="28" t="n">
        <v>46274.85575231481</v>
      </c>
      <c r="D32" s="11" t="inlineStr">
        <is>
          <t>delivered</t>
        </is>
      </c>
      <c r="E32" s="11" t="n"/>
      <c r="F32" s="11" t="inlineStr">
        <is>
          <t>prepaid</t>
        </is>
      </c>
      <c r="G32" s="11" t="inlineStr"/>
      <c r="H32" s="14" t="n">
        <v>340</v>
      </c>
      <c r="I32" s="14" t="n">
        <v>0</v>
      </c>
      <c r="J32" s="14" t="n">
        <v>0</v>
      </c>
      <c r="K32" s="14" t="n">
        <v>0</v>
      </c>
      <c r="L32" s="14" t="n">
        <v>340</v>
      </c>
      <c r="M32" s="14" t="n">
        <v>17</v>
      </c>
      <c r="N32" s="14" t="n">
        <v>340</v>
      </c>
      <c r="O32" s="14" t="n">
        <v>17</v>
      </c>
      <c r="P32" s="14" t="n">
        <v>357</v>
      </c>
      <c r="Q32" s="11" t="inlineStr">
        <is>
          <t>24.0%</t>
        </is>
      </c>
      <c r="R32" s="14" t="n">
        <v>357</v>
      </c>
      <c r="S32" s="14" t="n">
        <v>85.68000000000001</v>
      </c>
      <c r="T32" s="14" t="n">
        <v>7.14</v>
      </c>
      <c r="U32" s="14" t="n">
        <v>-0</v>
      </c>
      <c r="V32" s="14" t="n">
        <v>109.52</v>
      </c>
      <c r="W32" s="14" t="n">
        <v>0</v>
      </c>
      <c r="X32" s="14" t="n">
        <v>17</v>
      </c>
      <c r="Y32" s="14" t="n">
        <v>16.7</v>
      </c>
      <c r="Z32" s="14" t="n">
        <v>0</v>
      </c>
      <c r="AA32" s="14" t="n">
        <v>0.34</v>
      </c>
      <c r="AB32" s="14" t="n">
        <v>230.12</v>
      </c>
      <c r="AC32" s="11" t="inlineStr">
        <is>
          <t>Yes</t>
        </is>
      </c>
      <c r="AD32" s="29" t="n">
        <v>3.021</v>
      </c>
      <c r="AE32" s="11" t="inlineStr">
        <is>
          <t>206500dc-ba9e-4a58-be62-bb3f830ec1f3</t>
        </is>
      </c>
      <c r="AF32" s="11" t="inlineStr">
        <is>
          <t>16-09-2026</t>
        </is>
      </c>
    </row>
    <row r="33">
      <c r="A33" s="11" t="inlineStr">
        <is>
          <t>06 – 12 Sep</t>
        </is>
      </c>
      <c r="B33" s="11" t="inlineStr">
        <is>
          <t>247939369143332</t>
        </is>
      </c>
      <c r="C33" s="28" t="n">
        <v>46274.89778935185</v>
      </c>
      <c r="D33" s="11" t="inlineStr">
        <is>
          <t>delivered</t>
        </is>
      </c>
      <c r="E33" s="11" t="n"/>
      <c r="F33" s="11" t="inlineStr">
        <is>
          <t>prepaid</t>
        </is>
      </c>
      <c r="G33" s="11" t="inlineStr"/>
      <c r="H33" s="14" t="n">
        <v>300</v>
      </c>
      <c r="I33" s="14" t="n">
        <v>0</v>
      </c>
      <c r="J33" s="14" t="n">
        <v>0</v>
      </c>
      <c r="K33" s="14" t="n">
        <v>0</v>
      </c>
      <c r="L33" s="14" t="n">
        <v>300</v>
      </c>
      <c r="M33" s="14" t="n">
        <v>15</v>
      </c>
      <c r="N33" s="14" t="n">
        <v>300</v>
      </c>
      <c r="O33" s="14" t="n">
        <v>15</v>
      </c>
      <c r="P33" s="14" t="n">
        <v>315</v>
      </c>
      <c r="Q33" s="11" t="inlineStr">
        <is>
          <t>24.0%</t>
        </is>
      </c>
      <c r="R33" s="14" t="n">
        <v>315</v>
      </c>
      <c r="S33" s="14" t="n">
        <v>75.59999999999999</v>
      </c>
      <c r="T33" s="14" t="n">
        <v>6.3</v>
      </c>
      <c r="U33" s="14" t="n">
        <v>0</v>
      </c>
      <c r="V33" s="14" t="n">
        <v>96.64</v>
      </c>
      <c r="W33" s="14" t="n">
        <v>0</v>
      </c>
      <c r="X33" s="14" t="n">
        <v>15</v>
      </c>
      <c r="Y33" s="14" t="n">
        <v>14.74</v>
      </c>
      <c r="Z33" s="14" t="n">
        <v>0</v>
      </c>
      <c r="AA33" s="14" t="n">
        <v>0.3</v>
      </c>
      <c r="AB33" s="14" t="n">
        <v>203.06</v>
      </c>
      <c r="AC33" s="11" t="inlineStr">
        <is>
          <t>No</t>
        </is>
      </c>
      <c r="AD33" s="29" t="n">
        <v>3.223</v>
      </c>
      <c r="AE33" s="11" t="inlineStr"/>
      <c r="AF33" s="11" t="inlineStr">
        <is>
          <t>16-09-2026</t>
        </is>
      </c>
    </row>
    <row r="34">
      <c r="A34" s="11" t="inlineStr">
        <is>
          <t>06 – 12 Sep</t>
        </is>
      </c>
      <c r="B34" s="11" t="inlineStr">
        <is>
          <t>248020089132332</t>
        </is>
      </c>
      <c r="C34" s="28" t="n">
        <v>46275.83204861111</v>
      </c>
      <c r="D34" s="11" t="inlineStr">
        <is>
          <t>delivered</t>
        </is>
      </c>
      <c r="E34" s="11" t="n"/>
      <c r="F34" s="11" t="inlineStr">
        <is>
          <t>prepaid</t>
        </is>
      </c>
      <c r="G34" s="11" t="inlineStr"/>
      <c r="H34" s="14" t="n">
        <v>340</v>
      </c>
      <c r="I34" s="14" t="n">
        <v>0</v>
      </c>
      <c r="J34" s="14" t="n">
        <v>0</v>
      </c>
      <c r="K34" s="14" t="n">
        <v>0</v>
      </c>
      <c r="L34" s="14" t="n">
        <v>340</v>
      </c>
      <c r="M34" s="14" t="n">
        <v>17</v>
      </c>
      <c r="N34" s="14" t="n">
        <v>340</v>
      </c>
      <c r="O34" s="14" t="n">
        <v>17</v>
      </c>
      <c r="P34" s="14" t="n">
        <v>357</v>
      </c>
      <c r="Q34" s="11" t="inlineStr">
        <is>
          <t>24.0%</t>
        </is>
      </c>
      <c r="R34" s="14" t="n">
        <v>357</v>
      </c>
      <c r="S34" s="14" t="n">
        <v>85.68000000000001</v>
      </c>
      <c r="T34" s="14" t="n">
        <v>7.14</v>
      </c>
      <c r="U34" s="14" t="n">
        <v>-0</v>
      </c>
      <c r="V34" s="14" t="n">
        <v>109.52</v>
      </c>
      <c r="W34" s="14" t="n">
        <v>0</v>
      </c>
      <c r="X34" s="14" t="n">
        <v>17</v>
      </c>
      <c r="Y34" s="14" t="n">
        <v>16.7</v>
      </c>
      <c r="Z34" s="14" t="n">
        <v>0</v>
      </c>
      <c r="AA34" s="14" t="n">
        <v>0.34</v>
      </c>
      <c r="AB34" s="14" t="n">
        <v>230.12</v>
      </c>
      <c r="AC34" s="11" t="inlineStr">
        <is>
          <t>Yes</t>
        </is>
      </c>
      <c r="AD34" s="29" t="n">
        <v>5.152</v>
      </c>
      <c r="AE34" s="11" t="inlineStr">
        <is>
          <t>206500dc-ba9e-4a58-be62-bb3f830ec1f3</t>
        </is>
      </c>
      <c r="AF34" s="11" t="inlineStr">
        <is>
          <t>16-09-2026</t>
        </is>
      </c>
    </row>
    <row r="35">
      <c r="A35" s="11" t="inlineStr">
        <is>
          <t>06 – 12 Sep</t>
        </is>
      </c>
      <c r="B35" s="11" t="inlineStr">
        <is>
          <t>248021228170759</t>
        </is>
      </c>
      <c r="C35" s="28" t="n">
        <v>46275.84523148148</v>
      </c>
      <c r="D35" s="11" t="inlineStr">
        <is>
          <t>delivered</t>
        </is>
      </c>
      <c r="E35" s="11" t="n"/>
      <c r="F35" s="11" t="inlineStr">
        <is>
          <t>prepaid</t>
        </is>
      </c>
      <c r="G35" s="11" t="inlineStr"/>
      <c r="H35" s="14" t="n">
        <v>670</v>
      </c>
      <c r="I35" s="14" t="n">
        <v>0</v>
      </c>
      <c r="J35" s="14" t="n">
        <v>0</v>
      </c>
      <c r="K35" s="14" t="n">
        <v>0</v>
      </c>
      <c r="L35" s="14" t="n">
        <v>670</v>
      </c>
      <c r="M35" s="14" t="n">
        <v>33.5</v>
      </c>
      <c r="N35" s="14" t="n">
        <v>670</v>
      </c>
      <c r="O35" s="14" t="n">
        <v>33.5</v>
      </c>
      <c r="P35" s="14" t="n">
        <v>703.5</v>
      </c>
      <c r="Q35" s="11" t="inlineStr">
        <is>
          <t>24.0%</t>
        </is>
      </c>
      <c r="R35" s="14" t="n">
        <v>703.5</v>
      </c>
      <c r="S35" s="14" t="n">
        <v>168.84</v>
      </c>
      <c r="T35" s="14" t="n">
        <v>14.07</v>
      </c>
      <c r="U35" s="14" t="n">
        <v>0</v>
      </c>
      <c r="V35" s="14" t="n">
        <v>215.83</v>
      </c>
      <c r="W35" s="14" t="n">
        <v>0</v>
      </c>
      <c r="X35" s="14" t="n">
        <v>33.5</v>
      </c>
      <c r="Y35" s="14" t="n">
        <v>32.92</v>
      </c>
      <c r="Z35" s="14" t="n">
        <v>0</v>
      </c>
      <c r="AA35" s="14" t="n">
        <v>0.67</v>
      </c>
      <c r="AB35" s="14" t="n">
        <v>453.5</v>
      </c>
      <c r="AC35" s="11" t="inlineStr">
        <is>
          <t>Yes</t>
        </is>
      </c>
      <c r="AD35" s="29" t="n">
        <v>4.623</v>
      </c>
      <c r="AE35" s="11" t="inlineStr">
        <is>
          <t>206500dc-ba9e-4a58-be62-bb3f830ec1f3</t>
        </is>
      </c>
      <c r="AF35" s="11" t="inlineStr">
        <is>
          <t>16-09-2026</t>
        </is>
      </c>
    </row>
    <row r="36">
      <c r="A36" s="11" t="inlineStr">
        <is>
          <t>06 – 12 Sep</t>
        </is>
      </c>
      <c r="B36" s="11" t="inlineStr">
        <is>
          <t>248027102135656</t>
        </is>
      </c>
      <c r="C36" s="28" t="n">
        <v>46275.91321759259</v>
      </c>
      <c r="D36" s="11" t="inlineStr">
        <is>
          <t>delivered</t>
        </is>
      </c>
      <c r="E36" s="11" t="n"/>
      <c r="F36" s="11" t="inlineStr">
        <is>
          <t>cash</t>
        </is>
      </c>
      <c r="G36" s="11" t="inlineStr"/>
      <c r="H36" s="14" t="n">
        <v>300</v>
      </c>
      <c r="I36" s="14" t="n">
        <v>0</v>
      </c>
      <c r="J36" s="14" t="n">
        <v>0</v>
      </c>
      <c r="K36" s="14" t="n">
        <v>0</v>
      </c>
      <c r="L36" s="14" t="n">
        <v>300</v>
      </c>
      <c r="M36" s="14" t="n">
        <v>15</v>
      </c>
      <c r="N36" s="14" t="n">
        <v>300</v>
      </c>
      <c r="O36" s="14" t="n">
        <v>15</v>
      </c>
      <c r="P36" s="14" t="n">
        <v>315</v>
      </c>
      <c r="Q36" s="11" t="inlineStr">
        <is>
          <t>24.0%</t>
        </is>
      </c>
      <c r="R36" s="14" t="n">
        <v>315</v>
      </c>
      <c r="S36" s="14" t="n">
        <v>75.59999999999999</v>
      </c>
      <c r="T36" s="14" t="n">
        <v>6.3</v>
      </c>
      <c r="U36" s="14" t="n">
        <v>0</v>
      </c>
      <c r="V36" s="14" t="n">
        <v>96.64</v>
      </c>
      <c r="W36" s="14" t="n">
        <v>0</v>
      </c>
      <c r="X36" s="14" t="n">
        <v>15</v>
      </c>
      <c r="Y36" s="14" t="n">
        <v>14.74</v>
      </c>
      <c r="Z36" s="14" t="n">
        <v>0</v>
      </c>
      <c r="AA36" s="14" t="n">
        <v>0.3</v>
      </c>
      <c r="AB36" s="14" t="n">
        <v>203.06</v>
      </c>
      <c r="AC36" s="11" t="inlineStr">
        <is>
          <t>Yes</t>
        </is>
      </c>
      <c r="AD36" s="29" t="n">
        <v>3.152</v>
      </c>
      <c r="AE36" s="11" t="inlineStr">
        <is>
          <t>711fc754-4304-4178-a84a-19e7d53c8509</t>
        </is>
      </c>
      <c r="AF36" s="11" t="inlineStr">
        <is>
          <t>16-09-2026</t>
        </is>
      </c>
    </row>
    <row r="37">
      <c r="A37" s="11" t="inlineStr">
        <is>
          <t>06 – 12 Sep</t>
        </is>
      </c>
      <c r="B37" s="11" t="inlineStr">
        <is>
          <t>248091242191535</t>
        </is>
      </c>
      <c r="C37" s="28" t="n">
        <v>46276.65557870371</v>
      </c>
      <c r="D37" s="11" t="inlineStr">
        <is>
          <t>delivered</t>
        </is>
      </c>
      <c r="E37" s="11" t="n"/>
      <c r="F37" s="11" t="inlineStr">
        <is>
          <t>prepaid</t>
        </is>
      </c>
      <c r="G37" s="11" t="inlineStr"/>
      <c r="H37" s="14" t="n">
        <v>330</v>
      </c>
      <c r="I37" s="14" t="n">
        <v>0</v>
      </c>
      <c r="J37" s="14" t="n">
        <v>0</v>
      </c>
      <c r="K37" s="14" t="n">
        <v>0</v>
      </c>
      <c r="L37" s="14" t="n">
        <v>330</v>
      </c>
      <c r="M37" s="14" t="n">
        <v>16.5</v>
      </c>
      <c r="N37" s="14" t="n">
        <v>330</v>
      </c>
      <c r="O37" s="14" t="n">
        <v>16.5</v>
      </c>
      <c r="P37" s="14" t="n">
        <v>346.5</v>
      </c>
      <c r="Q37" s="11" t="inlineStr">
        <is>
          <t>24.0%</t>
        </is>
      </c>
      <c r="R37" s="14" t="n">
        <v>346.5</v>
      </c>
      <c r="S37" s="14" t="n">
        <v>83.16</v>
      </c>
      <c r="T37" s="14" t="n">
        <v>6.93</v>
      </c>
      <c r="U37" s="14" t="n">
        <v>0</v>
      </c>
      <c r="V37" s="14" t="n">
        <v>106.31</v>
      </c>
      <c r="W37" s="14" t="n">
        <v>0</v>
      </c>
      <c r="X37" s="14" t="n">
        <v>16.5</v>
      </c>
      <c r="Y37" s="14" t="n">
        <v>16.22</v>
      </c>
      <c r="Z37" s="14" t="n">
        <v>0</v>
      </c>
      <c r="AA37" s="14" t="n">
        <v>0.33</v>
      </c>
      <c r="AB37" s="14" t="n">
        <v>223.36</v>
      </c>
      <c r="AC37" s="11" t="inlineStr">
        <is>
          <t>Yes</t>
        </is>
      </c>
      <c r="AD37" s="29" t="n">
        <v>2.633</v>
      </c>
      <c r="AE37" s="11" t="inlineStr">
        <is>
          <t>206500dc-ba9e-4a58-be62-bb3f830ec1f3</t>
        </is>
      </c>
      <c r="AF37" s="11" t="inlineStr">
        <is>
          <t>16-09-2026</t>
        </is>
      </c>
    </row>
    <row r="38">
      <c r="A38" s="11" t="inlineStr">
        <is>
          <t>06 – 12 Sep</t>
        </is>
      </c>
      <c r="B38" s="11" t="inlineStr">
        <is>
          <t>248091472147055</t>
        </is>
      </c>
      <c r="C38" s="28" t="n">
        <v>46276.65824074074</v>
      </c>
      <c r="D38" s="11" t="inlineStr">
        <is>
          <t>delivered</t>
        </is>
      </c>
      <c r="E38" s="11" t="n"/>
      <c r="F38" s="11" t="inlineStr">
        <is>
          <t>prepaid</t>
        </is>
      </c>
      <c r="G38" s="11" t="inlineStr"/>
      <c r="H38" s="14" t="n">
        <v>640</v>
      </c>
      <c r="I38" s="14" t="n">
        <v>0</v>
      </c>
      <c r="J38" s="14" t="n">
        <v>0</v>
      </c>
      <c r="K38" s="14" t="n">
        <v>0</v>
      </c>
      <c r="L38" s="14" t="n">
        <v>640</v>
      </c>
      <c r="M38" s="14" t="n">
        <v>32</v>
      </c>
      <c r="N38" s="14" t="n">
        <v>640</v>
      </c>
      <c r="O38" s="14" t="n">
        <v>32</v>
      </c>
      <c r="P38" s="14" t="n">
        <v>672</v>
      </c>
      <c r="Q38" s="11" t="inlineStr">
        <is>
          <t>24.0%</t>
        </is>
      </c>
      <c r="R38" s="14" t="n">
        <v>672</v>
      </c>
      <c r="S38" s="14" t="n">
        <v>161.28</v>
      </c>
      <c r="T38" s="14" t="n">
        <v>13.44</v>
      </c>
      <c r="U38" s="14" t="n">
        <v>-0</v>
      </c>
      <c r="V38" s="14" t="n">
        <v>206.16</v>
      </c>
      <c r="W38" s="14" t="n">
        <v>0</v>
      </c>
      <c r="X38" s="14" t="n">
        <v>32</v>
      </c>
      <c r="Y38" s="14" t="n">
        <v>31.44</v>
      </c>
      <c r="Z38" s="14" t="n">
        <v>0</v>
      </c>
      <c r="AA38" s="14" t="n">
        <v>0.64</v>
      </c>
      <c r="AB38" s="14" t="n">
        <v>433.18</v>
      </c>
      <c r="AC38" s="11" t="inlineStr">
        <is>
          <t>Yes</t>
        </is>
      </c>
      <c r="AD38" s="29" t="n">
        <v>5.653</v>
      </c>
      <c r="AE38" s="11" t="inlineStr">
        <is>
          <t>711fc754-4304-4178-a84a-19e7d53c8509,1008e80a-c868-4bc2-ae7e-475b213be11d</t>
        </is>
      </c>
      <c r="AF38" s="11" t="inlineStr">
        <is>
          <t>16-09-2026</t>
        </is>
      </c>
    </row>
    <row r="39">
      <c r="A39" s="11" t="inlineStr">
        <is>
          <t>06 – 12 Sep</t>
        </is>
      </c>
      <c r="B39" s="11" t="inlineStr">
        <is>
          <t>248109499150589</t>
        </is>
      </c>
      <c r="C39" s="28" t="n">
        <v>46276.86688657408</v>
      </c>
      <c r="D39" s="11" t="inlineStr">
        <is>
          <t>delivered</t>
        </is>
      </c>
      <c r="E39" s="11" t="n"/>
      <c r="F39" s="11" t="inlineStr">
        <is>
          <t>cash</t>
        </is>
      </c>
      <c r="G39" s="11" t="inlineStr"/>
      <c r="H39" s="14" t="n">
        <v>1050</v>
      </c>
      <c r="I39" s="14" t="n">
        <v>0</v>
      </c>
      <c r="J39" s="14" t="n">
        <v>0</v>
      </c>
      <c r="K39" s="14" t="n">
        <v>0</v>
      </c>
      <c r="L39" s="14" t="n">
        <v>1050</v>
      </c>
      <c r="M39" s="14" t="n">
        <v>52.5</v>
      </c>
      <c r="N39" s="14" t="n">
        <v>1050</v>
      </c>
      <c r="O39" s="14" t="n">
        <v>52.5</v>
      </c>
      <c r="P39" s="14" t="n">
        <v>1102.5</v>
      </c>
      <c r="Q39" s="11" t="inlineStr">
        <is>
          <t>24.0%</t>
        </is>
      </c>
      <c r="R39" s="14" t="n">
        <v>1102.5</v>
      </c>
      <c r="S39" s="14" t="n">
        <v>264.6</v>
      </c>
      <c r="T39" s="14" t="n">
        <v>22.05</v>
      </c>
      <c r="U39" s="14" t="n">
        <v>-0</v>
      </c>
      <c r="V39" s="14" t="n">
        <v>338.25</v>
      </c>
      <c r="W39" s="14" t="n">
        <v>0</v>
      </c>
      <c r="X39" s="14" t="n">
        <v>52.5</v>
      </c>
      <c r="Y39" s="14" t="n">
        <v>51.6</v>
      </c>
      <c r="Z39" s="14" t="n">
        <v>0</v>
      </c>
      <c r="AA39" s="14" t="n">
        <v>1.05</v>
      </c>
      <c r="AB39" s="14" t="n">
        <v>710.7</v>
      </c>
      <c r="AC39" s="11" t="inlineStr">
        <is>
          <t>Yes</t>
        </is>
      </c>
      <c r="AD39" s="29" t="n">
        <v>1.448</v>
      </c>
      <c r="AE39" s="11" t="inlineStr">
        <is>
          <t>711fc754-4304-4178-a84a-19e7d53c8509</t>
        </is>
      </c>
      <c r="AF39" s="11" t="inlineStr">
        <is>
          <t>16-09-2026</t>
        </is>
      </c>
    </row>
    <row r="40">
      <c r="A40" s="11" t="inlineStr">
        <is>
          <t>06 – 12 Sep</t>
        </is>
      </c>
      <c r="B40" s="11" t="inlineStr">
        <is>
          <t>248184520120825</t>
        </is>
      </c>
      <c r="C40" s="28" t="n">
        <v>46277.73518518519</v>
      </c>
      <c r="D40" s="11" t="inlineStr">
        <is>
          <t>delivered</t>
        </is>
      </c>
      <c r="E40" s="11" t="n"/>
      <c r="F40" s="11" t="inlineStr">
        <is>
          <t>prepaid</t>
        </is>
      </c>
      <c r="G40" s="11" t="inlineStr"/>
      <c r="H40" s="14" t="n">
        <v>670</v>
      </c>
      <c r="I40" s="14" t="n">
        <v>0</v>
      </c>
      <c r="J40" s="14" t="n">
        <v>0</v>
      </c>
      <c r="K40" s="14" t="n">
        <v>0</v>
      </c>
      <c r="L40" s="14" t="n">
        <v>670</v>
      </c>
      <c r="M40" s="14" t="n">
        <v>33.5</v>
      </c>
      <c r="N40" s="14" t="n">
        <v>670</v>
      </c>
      <c r="O40" s="14" t="n">
        <v>33.5</v>
      </c>
      <c r="P40" s="14" t="n">
        <v>703.5</v>
      </c>
      <c r="Q40" s="11" t="inlineStr">
        <is>
          <t>24.0%</t>
        </is>
      </c>
      <c r="R40" s="14" t="n">
        <v>703.5</v>
      </c>
      <c r="S40" s="14" t="n">
        <v>168.84</v>
      </c>
      <c r="T40" s="14" t="n">
        <v>14.07</v>
      </c>
      <c r="U40" s="14" t="n">
        <v>0</v>
      </c>
      <c r="V40" s="14" t="n">
        <v>215.83</v>
      </c>
      <c r="W40" s="14" t="n">
        <v>0</v>
      </c>
      <c r="X40" s="14" t="n">
        <v>33.5</v>
      </c>
      <c r="Y40" s="14" t="n">
        <v>32.92</v>
      </c>
      <c r="Z40" s="14" t="n">
        <v>0</v>
      </c>
      <c r="AA40" s="14" t="n">
        <v>0.67</v>
      </c>
      <c r="AB40" s="14" t="n">
        <v>453.5</v>
      </c>
      <c r="AC40" s="11" t="inlineStr">
        <is>
          <t>Yes</t>
        </is>
      </c>
      <c r="AD40" s="29" t="n">
        <v>9.361000000000001</v>
      </c>
      <c r="AE40" s="11" t="inlineStr"/>
      <c r="AF40" s="11" t="inlineStr">
        <is>
          <t>16-09-2026</t>
        </is>
      </c>
    </row>
    <row r="41">
      <c r="A41" s="11" t="inlineStr">
        <is>
          <t>06 – 12 Sep</t>
        </is>
      </c>
      <c r="B41" s="11" t="inlineStr">
        <is>
          <t>248196767175780</t>
        </is>
      </c>
      <c r="C41" s="28" t="n">
        <v>46277.87693287037</v>
      </c>
      <c r="D41" s="11" t="inlineStr">
        <is>
          <t>delivered</t>
        </is>
      </c>
      <c r="E41" s="11" t="n"/>
      <c r="F41" s="11" t="inlineStr">
        <is>
          <t>cash</t>
        </is>
      </c>
      <c r="G41" s="11" t="inlineStr"/>
      <c r="H41" s="14" t="n">
        <v>330</v>
      </c>
      <c r="I41" s="14" t="n">
        <v>0</v>
      </c>
      <c r="J41" s="14" t="n">
        <v>0</v>
      </c>
      <c r="K41" s="14" t="n">
        <v>0</v>
      </c>
      <c r="L41" s="14" t="n">
        <v>330</v>
      </c>
      <c r="M41" s="14" t="n">
        <v>16.5</v>
      </c>
      <c r="N41" s="14" t="n">
        <v>330</v>
      </c>
      <c r="O41" s="14" t="n">
        <v>16.5</v>
      </c>
      <c r="P41" s="14" t="n">
        <v>346.5</v>
      </c>
      <c r="Q41" s="11" t="inlineStr">
        <is>
          <t>24.0%</t>
        </is>
      </c>
      <c r="R41" s="14" t="n">
        <v>346.5</v>
      </c>
      <c r="S41" s="14" t="n">
        <v>83.16</v>
      </c>
      <c r="T41" s="14" t="n">
        <v>6.93</v>
      </c>
      <c r="U41" s="14" t="n">
        <v>0</v>
      </c>
      <c r="V41" s="14" t="n">
        <v>106.31</v>
      </c>
      <c r="W41" s="14" t="n">
        <v>0</v>
      </c>
      <c r="X41" s="14" t="n">
        <v>16.5</v>
      </c>
      <c r="Y41" s="14" t="n">
        <v>16.22</v>
      </c>
      <c r="Z41" s="14" t="n">
        <v>0</v>
      </c>
      <c r="AA41" s="14" t="n">
        <v>0.33</v>
      </c>
      <c r="AB41" s="14" t="n">
        <v>223.36</v>
      </c>
      <c r="AC41" s="11" t="inlineStr">
        <is>
          <t>No</t>
        </is>
      </c>
      <c r="AD41" s="29" t="n">
        <v>4.679</v>
      </c>
      <c r="AE41" s="11" t="inlineStr">
        <is>
          <t>106d98e4-6109-46c6-9831-9d8f910e0895,2c09b840-ea85-4350-bba1-9b9417b36559</t>
        </is>
      </c>
      <c r="AF41" s="11" t="inlineStr">
        <is>
          <t>16-09-2026</t>
        </is>
      </c>
    </row>
    <row r="42">
      <c r="A42" s="11" t="inlineStr">
        <is>
          <t>06 – 12 Sep</t>
        </is>
      </c>
      <c r="B42" s="11" t="inlineStr">
        <is>
          <t>248196819172071</t>
        </is>
      </c>
      <c r="C42" s="28" t="n">
        <v>46277.87753472223</v>
      </c>
      <c r="D42" s="11" t="inlineStr">
        <is>
          <t>delivered</t>
        </is>
      </c>
      <c r="E42" s="11" t="n"/>
      <c r="F42" s="11" t="inlineStr">
        <is>
          <t>prepaid</t>
        </is>
      </c>
      <c r="G42" s="11" t="inlineStr">
        <is>
          <t>PNBCC</t>
        </is>
      </c>
      <c r="H42" s="14" t="n">
        <v>675</v>
      </c>
      <c r="I42" s="14" t="n">
        <v>0</v>
      </c>
      <c r="J42" s="14" t="n">
        <v>0</v>
      </c>
      <c r="K42" s="14" t="n">
        <v>0</v>
      </c>
      <c r="L42" s="14" t="n">
        <v>675</v>
      </c>
      <c r="M42" s="14" t="n">
        <v>33.76</v>
      </c>
      <c r="N42" s="14" t="n">
        <v>675</v>
      </c>
      <c r="O42" s="14" t="n">
        <v>33.75</v>
      </c>
      <c r="P42" s="14" t="n">
        <v>708.76</v>
      </c>
      <c r="Q42" s="11" t="inlineStr">
        <is>
          <t>24.0%</t>
        </is>
      </c>
      <c r="R42" s="14" t="n">
        <v>708.76</v>
      </c>
      <c r="S42" s="14" t="n">
        <v>170.1</v>
      </c>
      <c r="T42" s="14" t="n">
        <v>14.18</v>
      </c>
      <c r="U42" s="14" t="n">
        <v>0</v>
      </c>
      <c r="V42" s="14" t="n">
        <v>217.46</v>
      </c>
      <c r="W42" s="14" t="n">
        <v>0</v>
      </c>
      <c r="X42" s="14" t="n">
        <v>33.75</v>
      </c>
      <c r="Y42" s="14" t="n">
        <v>33.18</v>
      </c>
      <c r="Z42" s="14" t="n">
        <v>0</v>
      </c>
      <c r="AA42" s="14" t="n">
        <v>0.68</v>
      </c>
      <c r="AB42" s="14" t="n">
        <v>456.88</v>
      </c>
      <c r="AC42" s="11" t="inlineStr">
        <is>
          <t>Yes</t>
        </is>
      </c>
      <c r="AD42" s="29" t="n">
        <v>2.747</v>
      </c>
      <c r="AE42" s="11" t="inlineStr">
        <is>
          <t>206500dc-ba9e-4a58-be62-bb3f830ec1f3</t>
        </is>
      </c>
      <c r="AF42" s="11" t="inlineStr">
        <is>
          <t>16-09-2026</t>
        </is>
      </c>
    </row>
    <row r="43">
      <c r="A43" s="11" t="inlineStr">
        <is>
          <t>06 – 12 Sep</t>
        </is>
      </c>
      <c r="B43" s="11" t="inlineStr">
        <is>
          <t>248197785173622</t>
        </is>
      </c>
      <c r="C43" s="28" t="n">
        <v>46277.88871527778</v>
      </c>
      <c r="D43" s="11" t="inlineStr">
        <is>
          <t>delivered</t>
        </is>
      </c>
      <c r="E43" s="11" t="n"/>
      <c r="F43" s="11" t="inlineStr">
        <is>
          <t>prepaid</t>
        </is>
      </c>
      <c r="G43" s="11" t="inlineStr"/>
      <c r="H43" s="14" t="n">
        <v>670</v>
      </c>
      <c r="I43" s="14" t="n">
        <v>0</v>
      </c>
      <c r="J43" s="14" t="n">
        <v>0</v>
      </c>
      <c r="K43" s="14" t="n">
        <v>0</v>
      </c>
      <c r="L43" s="14" t="n">
        <v>670</v>
      </c>
      <c r="M43" s="14" t="n">
        <v>33.5</v>
      </c>
      <c r="N43" s="14" t="n">
        <v>670</v>
      </c>
      <c r="O43" s="14" t="n">
        <v>33.5</v>
      </c>
      <c r="P43" s="14" t="n">
        <v>703.5</v>
      </c>
      <c r="Q43" s="11" t="inlineStr">
        <is>
          <t>24.0%</t>
        </is>
      </c>
      <c r="R43" s="14" t="n">
        <v>703.5</v>
      </c>
      <c r="S43" s="14" t="n">
        <v>168.84</v>
      </c>
      <c r="T43" s="14" t="n">
        <v>14.07</v>
      </c>
      <c r="U43" s="14" t="n">
        <v>0</v>
      </c>
      <c r="V43" s="14" t="n">
        <v>215.83</v>
      </c>
      <c r="W43" s="14" t="n">
        <v>0</v>
      </c>
      <c r="X43" s="14" t="n">
        <v>33.5</v>
      </c>
      <c r="Y43" s="14" t="n">
        <v>32.92</v>
      </c>
      <c r="Z43" s="14" t="n">
        <v>0</v>
      </c>
      <c r="AA43" s="14" t="n">
        <v>0.67</v>
      </c>
      <c r="AB43" s="14" t="n">
        <v>453.5</v>
      </c>
      <c r="AC43" s="11" t="inlineStr">
        <is>
          <t>Yes</t>
        </is>
      </c>
      <c r="AD43" s="29" t="n">
        <v>3.077</v>
      </c>
      <c r="AE43" s="11" t="inlineStr">
        <is>
          <t>206500dc-ba9e-4a58-be62-bb3f830ec1f3</t>
        </is>
      </c>
      <c r="AF43" s="11" t="inlineStr">
        <is>
          <t>16-09-2026</t>
        </is>
      </c>
    </row>
    <row r="44">
      <c r="A44" s="11" t="inlineStr">
        <is>
          <t>06 – 12 Sep</t>
        </is>
      </c>
      <c r="B44" s="11" t="inlineStr">
        <is>
          <t>248200181104846</t>
        </is>
      </c>
      <c r="C44" s="28" t="n">
        <v>46277.91644675926</v>
      </c>
      <c r="D44" s="11" t="inlineStr">
        <is>
          <t>delivered</t>
        </is>
      </c>
      <c r="E44" s="11" t="n"/>
      <c r="F44" s="11" t="inlineStr">
        <is>
          <t>prepaid</t>
        </is>
      </c>
      <c r="G44" s="11" t="inlineStr"/>
      <c r="H44" s="14" t="n">
        <v>580</v>
      </c>
      <c r="I44" s="14" t="n">
        <v>0</v>
      </c>
      <c r="J44" s="14" t="n">
        <v>0</v>
      </c>
      <c r="K44" s="14" t="n">
        <v>0</v>
      </c>
      <c r="L44" s="14" t="n">
        <v>580</v>
      </c>
      <c r="M44" s="14" t="n">
        <v>29</v>
      </c>
      <c r="N44" s="14" t="n">
        <v>580</v>
      </c>
      <c r="O44" s="14" t="n">
        <v>29</v>
      </c>
      <c r="P44" s="14" t="n">
        <v>609</v>
      </c>
      <c r="Q44" s="11" t="inlineStr">
        <is>
          <t>24.0%</t>
        </is>
      </c>
      <c r="R44" s="14" t="n">
        <v>609</v>
      </c>
      <c r="S44" s="14" t="n">
        <v>146.16</v>
      </c>
      <c r="T44" s="14" t="n">
        <v>12.18</v>
      </c>
      <c r="U44" s="14" t="n">
        <v>0</v>
      </c>
      <c r="V44" s="14" t="n">
        <v>186.84</v>
      </c>
      <c r="W44" s="14" t="n">
        <v>0</v>
      </c>
      <c r="X44" s="14" t="n">
        <v>29</v>
      </c>
      <c r="Y44" s="14" t="n">
        <v>28.5</v>
      </c>
      <c r="Z44" s="14" t="n">
        <v>0</v>
      </c>
      <c r="AA44" s="14" t="n">
        <v>0.58</v>
      </c>
      <c r="AB44" s="14" t="n">
        <v>392.58</v>
      </c>
      <c r="AC44" s="11" t="inlineStr">
        <is>
          <t>Yes</t>
        </is>
      </c>
      <c r="AD44" s="29" t="n">
        <v>2.23</v>
      </c>
      <c r="AE44" s="11" t="inlineStr">
        <is>
          <t>206500dc-ba9e-4a58-be62-bb3f830ec1f3</t>
        </is>
      </c>
      <c r="AF44" s="11" t="inlineStr">
        <is>
          <t>16-09-2026</t>
        </is>
      </c>
    </row>
    <row r="45">
      <c r="A45" s="24" t="inlineStr">
        <is>
          <t>06 – 12 Sep</t>
        </is>
      </c>
      <c r="B45" s="24" t="inlineStr">
        <is>
          <t>248201907107833</t>
        </is>
      </c>
      <c r="C45" s="25" t="n">
        <v>46277.93642361111</v>
      </c>
      <c r="D45" s="24" t="inlineStr">
        <is>
          <t>cancelled</t>
        </is>
      </c>
      <c r="E45" s="24" t="inlineStr">
        <is>
          <t>MERCHANT</t>
        </is>
      </c>
      <c r="F45" s="24" t="inlineStr">
        <is>
          <t>cash</t>
        </is>
      </c>
      <c r="G45" s="24" t="inlineStr"/>
      <c r="H45" s="26" t="n">
        <v>0</v>
      </c>
      <c r="I45" s="26" t="n">
        <v>0</v>
      </c>
      <c r="J45" s="26" t="n">
        <v>0</v>
      </c>
      <c r="K45" s="26" t="n">
        <v>0</v>
      </c>
      <c r="L45" s="26" t="n">
        <v>0</v>
      </c>
      <c r="M45" s="26" t="n">
        <v>0</v>
      </c>
      <c r="N45" s="26" t="n">
        <v>0</v>
      </c>
      <c r="O45" s="26" t="n">
        <v>0</v>
      </c>
      <c r="P45" s="26" t="n">
        <v>0</v>
      </c>
      <c r="Q45" s="24" t="inlineStr">
        <is>
          <t>24.0%</t>
        </is>
      </c>
      <c r="R45" s="26" t="n">
        <v>0</v>
      </c>
      <c r="S45" s="26" t="n">
        <v>0</v>
      </c>
      <c r="T45" s="26" t="n">
        <v>0</v>
      </c>
      <c r="U45" s="26" t="n">
        <v>82.5</v>
      </c>
      <c r="V45" s="26" t="n">
        <v>97.36</v>
      </c>
      <c r="W45" s="26" t="n">
        <v>0</v>
      </c>
      <c r="X45" s="26" t="n">
        <v>0</v>
      </c>
      <c r="Y45" s="26" t="n">
        <v>14.86</v>
      </c>
      <c r="Z45" s="26" t="n">
        <v>0</v>
      </c>
      <c r="AA45" s="26" t="n">
        <v>0</v>
      </c>
      <c r="AB45" s="26" t="n">
        <v>-97.34999999999999</v>
      </c>
      <c r="AC45" s="24" t="inlineStr">
        <is>
          <t>No</t>
        </is>
      </c>
      <c r="AD45" s="27" t="n">
        <v>3.324</v>
      </c>
      <c r="AE45" s="24" t="inlineStr"/>
      <c r="AF45" s="24" t="inlineStr">
        <is>
          <t>16-09-2026</t>
        </is>
      </c>
    </row>
    <row r="46">
      <c r="A46" s="7" t="inlineStr">
        <is>
          <t>13 – 19 Sep</t>
        </is>
      </c>
      <c r="B46" s="7" t="inlineStr">
        <is>
          <t>248260178142219</t>
        </is>
      </c>
      <c r="C46" s="22" t="n">
        <v>46278.61085648148</v>
      </c>
      <c r="D46" s="7" t="inlineStr">
        <is>
          <t>delivered</t>
        </is>
      </c>
      <c r="E46" s="7" t="n"/>
      <c r="F46" s="7" t="inlineStr">
        <is>
          <t>cash</t>
        </is>
      </c>
      <c r="G46" s="7" t="inlineStr"/>
      <c r="H46" s="10" t="n">
        <v>1340</v>
      </c>
      <c r="I46" s="10" t="n">
        <v>0</v>
      </c>
      <c r="J46" s="10" t="n">
        <v>0</v>
      </c>
      <c r="K46" s="10" t="n">
        <v>0</v>
      </c>
      <c r="L46" s="10" t="n">
        <v>1340</v>
      </c>
      <c r="M46" s="10" t="n">
        <v>67</v>
      </c>
      <c r="N46" s="10" t="n">
        <v>1340</v>
      </c>
      <c r="O46" s="10" t="n">
        <v>67</v>
      </c>
      <c r="P46" s="10" t="n">
        <v>1407</v>
      </c>
      <c r="Q46" s="7" t="inlineStr">
        <is>
          <t>24.0%</t>
        </is>
      </c>
      <c r="R46" s="10" t="n">
        <v>1407</v>
      </c>
      <c r="S46" s="10" t="n">
        <v>337.68</v>
      </c>
      <c r="T46" s="10" t="n">
        <v>28.14</v>
      </c>
      <c r="U46" s="10" t="n">
        <v>0</v>
      </c>
      <c r="V46" s="10" t="n">
        <v>431.66</v>
      </c>
      <c r="W46" s="10" t="n">
        <v>0</v>
      </c>
      <c r="X46" s="10" t="n">
        <v>67</v>
      </c>
      <c r="Y46" s="10" t="n">
        <v>65.84</v>
      </c>
      <c r="Z46" s="10" t="n">
        <v>0</v>
      </c>
      <c r="AA46" s="10" t="n">
        <v>1.34</v>
      </c>
      <c r="AB46" s="10" t="n">
        <v>906.98</v>
      </c>
      <c r="AC46" s="7" t="inlineStr">
        <is>
          <t>Yes</t>
        </is>
      </c>
      <c r="AD46" s="23" t="n">
        <v>2.406</v>
      </c>
      <c r="AE46" s="7" t="inlineStr">
        <is>
          <t>31ab0344-a29a-4332-83ca-1387a08d14c2,206500dc-ba9e-4a58-be62-bb3f830ec1f3,6a786e38-7a35-48c2-a9d0-61865306c7c0</t>
        </is>
      </c>
      <c r="AF46" s="7" t="inlineStr">
        <is>
          <t>23-09-2026</t>
        </is>
      </c>
    </row>
    <row r="47">
      <c r="A47" s="7" t="inlineStr">
        <is>
          <t>13 – 19 Sep</t>
        </is>
      </c>
      <c r="B47" s="7" t="inlineStr">
        <is>
          <t>248262656134014</t>
        </is>
      </c>
      <c r="C47" s="22" t="n">
        <v>46278.63953703704</v>
      </c>
      <c r="D47" s="7" t="inlineStr">
        <is>
          <t>delivered</t>
        </is>
      </c>
      <c r="E47" s="7" t="n"/>
      <c r="F47" s="7" t="inlineStr">
        <is>
          <t>prepaid</t>
        </is>
      </c>
      <c r="G47" s="7" t="inlineStr"/>
      <c r="H47" s="10" t="n">
        <v>290</v>
      </c>
      <c r="I47" s="10" t="n">
        <v>0</v>
      </c>
      <c r="J47" s="10" t="n">
        <v>0</v>
      </c>
      <c r="K47" s="10" t="n">
        <v>0</v>
      </c>
      <c r="L47" s="10" t="n">
        <v>290</v>
      </c>
      <c r="M47" s="10" t="n">
        <v>14.5</v>
      </c>
      <c r="N47" s="10" t="n">
        <v>290</v>
      </c>
      <c r="O47" s="10" t="n">
        <v>14.5</v>
      </c>
      <c r="P47" s="10" t="n">
        <v>304.5</v>
      </c>
      <c r="Q47" s="7" t="inlineStr">
        <is>
          <t>24.0%</t>
        </is>
      </c>
      <c r="R47" s="10" t="n">
        <v>304.5</v>
      </c>
      <c r="S47" s="10" t="n">
        <v>73.08</v>
      </c>
      <c r="T47" s="10" t="n">
        <v>6.09</v>
      </c>
      <c r="U47" s="10" t="n">
        <v>0</v>
      </c>
      <c r="V47" s="10" t="n">
        <v>93.43000000000001</v>
      </c>
      <c r="W47" s="10" t="n">
        <v>0</v>
      </c>
      <c r="X47" s="10" t="n">
        <v>14.5</v>
      </c>
      <c r="Y47" s="10" t="n">
        <v>14.26</v>
      </c>
      <c r="Z47" s="10" t="n">
        <v>0</v>
      </c>
      <c r="AA47" s="10" t="n">
        <v>0.29</v>
      </c>
      <c r="AB47" s="10" t="n">
        <v>196.3</v>
      </c>
      <c r="AC47" s="7" t="inlineStr">
        <is>
          <t>Yes</t>
        </is>
      </c>
      <c r="AD47" s="23" t="n">
        <v>2.898</v>
      </c>
      <c r="AE47" s="7" t="inlineStr">
        <is>
          <t>206500dc-ba9e-4a58-be62-bb3f830ec1f3</t>
        </is>
      </c>
      <c r="AF47" s="7" t="inlineStr">
        <is>
          <t>23-09-2026</t>
        </is>
      </c>
    </row>
    <row r="48">
      <c r="A48" s="7" t="inlineStr">
        <is>
          <t>13 – 19 Sep</t>
        </is>
      </c>
      <c r="B48" s="7" t="inlineStr">
        <is>
          <t>248263303100870</t>
        </is>
      </c>
      <c r="C48" s="22" t="n">
        <v>46278.64702546296</v>
      </c>
      <c r="D48" s="7" t="inlineStr">
        <is>
          <t>delivered</t>
        </is>
      </c>
      <c r="E48" s="7" t="n"/>
      <c r="F48" s="7" t="inlineStr">
        <is>
          <t>prepaid</t>
        </is>
      </c>
      <c r="G48" s="7" t="inlineStr"/>
      <c r="H48" s="10" t="n">
        <v>660</v>
      </c>
      <c r="I48" s="10" t="n">
        <v>0</v>
      </c>
      <c r="J48" s="10" t="n">
        <v>0</v>
      </c>
      <c r="K48" s="10" t="n">
        <v>0</v>
      </c>
      <c r="L48" s="10" t="n">
        <v>660</v>
      </c>
      <c r="M48" s="10" t="n">
        <v>33</v>
      </c>
      <c r="N48" s="10" t="n">
        <v>660</v>
      </c>
      <c r="O48" s="10" t="n">
        <v>33</v>
      </c>
      <c r="P48" s="10" t="n">
        <v>693</v>
      </c>
      <c r="Q48" s="7" t="inlineStr">
        <is>
          <t>24.0%</t>
        </is>
      </c>
      <c r="R48" s="10" t="n">
        <v>693</v>
      </c>
      <c r="S48" s="10" t="n">
        <v>166.32</v>
      </c>
      <c r="T48" s="10" t="n">
        <v>13.86</v>
      </c>
      <c r="U48" s="10" t="n">
        <v>0</v>
      </c>
      <c r="V48" s="10" t="n">
        <v>212.62</v>
      </c>
      <c r="W48" s="10" t="n">
        <v>0</v>
      </c>
      <c r="X48" s="10" t="n">
        <v>33</v>
      </c>
      <c r="Y48" s="10" t="n">
        <v>32.44</v>
      </c>
      <c r="Z48" s="10" t="n">
        <v>0</v>
      </c>
      <c r="AA48" s="10" t="n">
        <v>0.66</v>
      </c>
      <c r="AB48" s="10" t="n">
        <v>446.74</v>
      </c>
      <c r="AC48" s="7" t="inlineStr">
        <is>
          <t>Yes</t>
        </is>
      </c>
      <c r="AD48" s="23" t="n">
        <v>2.23</v>
      </c>
      <c r="AE48" s="7" t="inlineStr">
        <is>
          <t>206500dc-ba9e-4a58-be62-bb3f830ec1f3</t>
        </is>
      </c>
      <c r="AF48" s="7" t="inlineStr">
        <is>
          <t>23-09-2026</t>
        </is>
      </c>
    </row>
    <row r="49">
      <c r="A49" s="7" t="inlineStr">
        <is>
          <t>13 – 19 Sep</t>
        </is>
      </c>
      <c r="B49" s="7" t="inlineStr">
        <is>
          <t>248268799159884</t>
        </is>
      </c>
      <c r="C49" s="22" t="n">
        <v>46278.71063657408</v>
      </c>
      <c r="D49" s="7" t="inlineStr">
        <is>
          <t>delivered</t>
        </is>
      </c>
      <c r="E49" s="7" t="n"/>
      <c r="F49" s="7" t="inlineStr">
        <is>
          <t>cash</t>
        </is>
      </c>
      <c r="G49" s="7" t="inlineStr">
        <is>
          <t>TREAT4U</t>
        </is>
      </c>
      <c r="H49" s="10" t="n">
        <v>640</v>
      </c>
      <c r="I49" s="10" t="n">
        <v>0</v>
      </c>
      <c r="J49" s="10" t="n">
        <v>0</v>
      </c>
      <c r="K49" s="10" t="n">
        <v>0</v>
      </c>
      <c r="L49" s="10" t="n">
        <v>640</v>
      </c>
      <c r="M49" s="10" t="n">
        <v>32</v>
      </c>
      <c r="N49" s="10" t="n">
        <v>640</v>
      </c>
      <c r="O49" s="10" t="n">
        <v>32</v>
      </c>
      <c r="P49" s="10" t="n">
        <v>672</v>
      </c>
      <c r="Q49" s="7" t="inlineStr">
        <is>
          <t>24.0%</t>
        </is>
      </c>
      <c r="R49" s="10" t="n">
        <v>672</v>
      </c>
      <c r="S49" s="10" t="n">
        <v>161.28</v>
      </c>
      <c r="T49" s="10" t="n">
        <v>13.44</v>
      </c>
      <c r="U49" s="10" t="n">
        <v>-0</v>
      </c>
      <c r="V49" s="10" t="n">
        <v>206.16</v>
      </c>
      <c r="W49" s="10" t="n">
        <v>0</v>
      </c>
      <c r="X49" s="10" t="n">
        <v>32</v>
      </c>
      <c r="Y49" s="10" t="n">
        <v>31.44</v>
      </c>
      <c r="Z49" s="10" t="n">
        <v>0</v>
      </c>
      <c r="AA49" s="10" t="n">
        <v>0.64</v>
      </c>
      <c r="AB49" s="10" t="n">
        <v>433.18</v>
      </c>
      <c r="AC49" s="7" t="inlineStr">
        <is>
          <t>No</t>
        </is>
      </c>
      <c r="AD49" s="23" t="n">
        <v>3.325</v>
      </c>
      <c r="AE49" s="7" t="inlineStr">
        <is>
          <t>ec201aae-70e3-45a9-9f12-219748a181ff,2c09b840-ea85-4350-bba1-9b9417b36559</t>
        </is>
      </c>
      <c r="AF49" s="7" t="inlineStr">
        <is>
          <t>23-09-2026</t>
        </is>
      </c>
    </row>
    <row r="50">
      <c r="A50" s="7" t="inlineStr">
        <is>
          <t>13 – 19 Sep</t>
        </is>
      </c>
      <c r="B50" s="7" t="inlineStr">
        <is>
          <t>248280969151114</t>
        </is>
      </c>
      <c r="C50" s="22" t="n">
        <v>46278.85149305555</v>
      </c>
      <c r="D50" s="7" t="inlineStr">
        <is>
          <t>delivered</t>
        </is>
      </c>
      <c r="E50" s="7" t="n"/>
      <c r="F50" s="7" t="inlineStr">
        <is>
          <t>prepaid</t>
        </is>
      </c>
      <c r="G50" s="7" t="inlineStr"/>
      <c r="H50" s="10" t="n">
        <v>590</v>
      </c>
      <c r="I50" s="10" t="n">
        <v>0</v>
      </c>
      <c r="J50" s="10" t="n">
        <v>0</v>
      </c>
      <c r="K50" s="10" t="n">
        <v>0</v>
      </c>
      <c r="L50" s="10" t="n">
        <v>590</v>
      </c>
      <c r="M50" s="10" t="n">
        <v>29.5</v>
      </c>
      <c r="N50" s="10" t="n">
        <v>590</v>
      </c>
      <c r="O50" s="10" t="n">
        <v>29.5</v>
      </c>
      <c r="P50" s="10" t="n">
        <v>619.5</v>
      </c>
      <c r="Q50" s="7" t="inlineStr">
        <is>
          <t>24.0%</t>
        </is>
      </c>
      <c r="R50" s="10" t="n">
        <v>619.5</v>
      </c>
      <c r="S50" s="10" t="n">
        <v>148.68</v>
      </c>
      <c r="T50" s="10" t="n">
        <v>12.39</v>
      </c>
      <c r="U50" s="10" t="n">
        <v>-0</v>
      </c>
      <c r="V50" s="10" t="n">
        <v>190.07</v>
      </c>
      <c r="W50" s="10" t="n">
        <v>0</v>
      </c>
      <c r="X50" s="10" t="n">
        <v>29.5</v>
      </c>
      <c r="Y50" s="10" t="n">
        <v>29</v>
      </c>
      <c r="Z50" s="10" t="n">
        <v>0</v>
      </c>
      <c r="AA50" s="10" t="n">
        <v>0.59</v>
      </c>
      <c r="AB50" s="10" t="n">
        <v>399.36</v>
      </c>
      <c r="AC50" s="7" t="inlineStr">
        <is>
          <t>Yes</t>
        </is>
      </c>
      <c r="AD50" s="23" t="n">
        <v>1.448</v>
      </c>
      <c r="AE50" s="7" t="inlineStr">
        <is>
          <t>711fc754-4304-4178-a84a-19e7d53c8509</t>
        </is>
      </c>
      <c r="AF50" s="7" t="inlineStr">
        <is>
          <t>23-09-2026</t>
        </is>
      </c>
    </row>
    <row r="51">
      <c r="A51" s="7" t="inlineStr">
        <is>
          <t>13 – 19 Sep</t>
        </is>
      </c>
      <c r="B51" s="7" t="inlineStr">
        <is>
          <t>248356394197101</t>
        </is>
      </c>
      <c r="C51" s="22" t="n">
        <v>46279.72446759259</v>
      </c>
      <c r="D51" s="7" t="inlineStr">
        <is>
          <t>delivered</t>
        </is>
      </c>
      <c r="E51" s="7" t="n"/>
      <c r="F51" s="7" t="inlineStr">
        <is>
          <t>prepaid</t>
        </is>
      </c>
      <c r="G51" s="7" t="inlineStr">
        <is>
          <t>VALUE4U</t>
        </is>
      </c>
      <c r="H51" s="10" t="n">
        <v>330</v>
      </c>
      <c r="I51" s="10" t="n">
        <v>0</v>
      </c>
      <c r="J51" s="10" t="n">
        <v>0</v>
      </c>
      <c r="K51" s="10" t="n">
        <v>0</v>
      </c>
      <c r="L51" s="10" t="n">
        <v>330</v>
      </c>
      <c r="M51" s="10" t="n">
        <v>16.5</v>
      </c>
      <c r="N51" s="10" t="n">
        <v>330</v>
      </c>
      <c r="O51" s="10" t="n">
        <v>16.5</v>
      </c>
      <c r="P51" s="10" t="n">
        <v>346.5</v>
      </c>
      <c r="Q51" s="7" t="inlineStr">
        <is>
          <t>24.0%</t>
        </is>
      </c>
      <c r="R51" s="10" t="n">
        <v>346.5</v>
      </c>
      <c r="S51" s="10" t="n">
        <v>83.16</v>
      </c>
      <c r="T51" s="10" t="n">
        <v>6.93</v>
      </c>
      <c r="U51" s="10" t="n">
        <v>0</v>
      </c>
      <c r="V51" s="10" t="n">
        <v>106.31</v>
      </c>
      <c r="W51" s="10" t="n">
        <v>0</v>
      </c>
      <c r="X51" s="10" t="n">
        <v>16.5</v>
      </c>
      <c r="Y51" s="10" t="n">
        <v>16.22</v>
      </c>
      <c r="Z51" s="10" t="n">
        <v>0</v>
      </c>
      <c r="AA51" s="10" t="n">
        <v>0.33</v>
      </c>
      <c r="AB51" s="10" t="n">
        <v>223.36</v>
      </c>
      <c r="AC51" s="7" t="inlineStr">
        <is>
          <t>Yes</t>
        </is>
      </c>
      <c r="AD51" s="23" t="n">
        <v>3.212</v>
      </c>
      <c r="AE51" s="7" t="inlineStr">
        <is>
          <t>711fc754-4304-4178-a84a-19e7d53c8509,dfdf87d9-a17f-43ca-a467-6cda96436e33</t>
        </is>
      </c>
      <c r="AF51" s="7" t="inlineStr">
        <is>
          <t>23-09-2026</t>
        </is>
      </c>
    </row>
    <row r="52">
      <c r="A52" s="7" t="inlineStr">
        <is>
          <t>13 – 19 Sep</t>
        </is>
      </c>
      <c r="B52" s="7" t="inlineStr">
        <is>
          <t>248445403194190</t>
        </is>
      </c>
      <c r="C52" s="22" t="n">
        <v>46280.75466435185</v>
      </c>
      <c r="D52" s="7" t="inlineStr">
        <is>
          <t>delivered</t>
        </is>
      </c>
      <c r="E52" s="7" t="n"/>
      <c r="F52" s="7" t="inlineStr">
        <is>
          <t>prepaid</t>
        </is>
      </c>
      <c r="G52" s="7" t="inlineStr"/>
      <c r="H52" s="10" t="n">
        <v>330</v>
      </c>
      <c r="I52" s="10" t="n">
        <v>0</v>
      </c>
      <c r="J52" s="10" t="n">
        <v>0</v>
      </c>
      <c r="K52" s="10" t="n">
        <v>0</v>
      </c>
      <c r="L52" s="10" t="n">
        <v>330</v>
      </c>
      <c r="M52" s="10" t="n">
        <v>16.5</v>
      </c>
      <c r="N52" s="10" t="n">
        <v>330</v>
      </c>
      <c r="O52" s="10" t="n">
        <v>16.5</v>
      </c>
      <c r="P52" s="10" t="n">
        <v>346.5</v>
      </c>
      <c r="Q52" s="7" t="inlineStr">
        <is>
          <t>24.0%</t>
        </is>
      </c>
      <c r="R52" s="10" t="n">
        <v>346.5</v>
      </c>
      <c r="S52" s="10" t="n">
        <v>83.16</v>
      </c>
      <c r="T52" s="10" t="n">
        <v>6.93</v>
      </c>
      <c r="U52" s="10" t="n">
        <v>0</v>
      </c>
      <c r="V52" s="10" t="n">
        <v>106.31</v>
      </c>
      <c r="W52" s="10" t="n">
        <v>0</v>
      </c>
      <c r="X52" s="10" t="n">
        <v>16.5</v>
      </c>
      <c r="Y52" s="10" t="n">
        <v>16.22</v>
      </c>
      <c r="Z52" s="10" t="n">
        <v>0</v>
      </c>
      <c r="AA52" s="10" t="n">
        <v>0.33</v>
      </c>
      <c r="AB52" s="10" t="n">
        <v>223.36</v>
      </c>
      <c r="AC52" s="7" t="inlineStr">
        <is>
          <t>Yes</t>
        </is>
      </c>
      <c r="AD52" s="23" t="n">
        <v>3.112</v>
      </c>
      <c r="AE52" s="7" t="inlineStr">
        <is>
          <t>206500dc-ba9e-4a58-be62-bb3f830ec1f3</t>
        </is>
      </c>
      <c r="AF52" s="7" t="inlineStr">
        <is>
          <t>23-09-2026</t>
        </is>
      </c>
    </row>
    <row r="53">
      <c r="A53" s="7" t="inlineStr">
        <is>
          <t>13 – 19 Sep</t>
        </is>
      </c>
      <c r="B53" s="7" t="inlineStr">
        <is>
          <t>248518186136241</t>
        </is>
      </c>
      <c r="C53" s="22" t="n">
        <v>46281.59706018519</v>
      </c>
      <c r="D53" s="7" t="inlineStr">
        <is>
          <t>delivered</t>
        </is>
      </c>
      <c r="E53" s="7" t="n"/>
      <c r="F53" s="7" t="inlineStr">
        <is>
          <t>cash</t>
        </is>
      </c>
      <c r="G53" s="7" t="inlineStr">
        <is>
          <t>SWIGGYLOVE-KVOAJH</t>
        </is>
      </c>
      <c r="H53" s="10" t="n">
        <v>660</v>
      </c>
      <c r="I53" s="10" t="n">
        <v>0</v>
      </c>
      <c r="J53" s="10" t="n">
        <v>0</v>
      </c>
      <c r="K53" s="10" t="n">
        <v>0</v>
      </c>
      <c r="L53" s="10" t="n">
        <v>660</v>
      </c>
      <c r="M53" s="10" t="n">
        <v>33</v>
      </c>
      <c r="N53" s="10" t="n">
        <v>660</v>
      </c>
      <c r="O53" s="10" t="n">
        <v>33</v>
      </c>
      <c r="P53" s="10" t="n">
        <v>693</v>
      </c>
      <c r="Q53" s="7" t="inlineStr">
        <is>
          <t>24.0%</t>
        </is>
      </c>
      <c r="R53" s="10" t="n">
        <v>693</v>
      </c>
      <c r="S53" s="10" t="n">
        <v>166.32</v>
      </c>
      <c r="T53" s="10" t="n">
        <v>13.86</v>
      </c>
      <c r="U53" s="10" t="n">
        <v>0</v>
      </c>
      <c r="V53" s="10" t="n">
        <v>212.62</v>
      </c>
      <c r="W53" s="10" t="n">
        <v>0</v>
      </c>
      <c r="X53" s="10" t="n">
        <v>33</v>
      </c>
      <c r="Y53" s="10" t="n">
        <v>32.44</v>
      </c>
      <c r="Z53" s="10" t="n">
        <v>0</v>
      </c>
      <c r="AA53" s="10" t="n">
        <v>0.66</v>
      </c>
      <c r="AB53" s="10" t="n">
        <v>446.74</v>
      </c>
      <c r="AC53" s="7" t="inlineStr">
        <is>
          <t>Yes</t>
        </is>
      </c>
      <c r="AD53" s="23" t="n">
        <v>2.289</v>
      </c>
      <c r="AE53" s="7" t="inlineStr">
        <is>
          <t>206500dc-ba9e-4a58-be62-bb3f830ec1f3</t>
        </is>
      </c>
      <c r="AF53" s="7" t="inlineStr">
        <is>
          <t>23-09-2026</t>
        </is>
      </c>
    </row>
    <row r="54">
      <c r="A54" s="7" t="inlineStr">
        <is>
          <t>13 – 19 Sep</t>
        </is>
      </c>
      <c r="B54" s="7" t="inlineStr">
        <is>
          <t>248525259151529</t>
        </is>
      </c>
      <c r="C54" s="22" t="n">
        <v>46281.67892361111</v>
      </c>
      <c r="D54" s="7" t="inlineStr">
        <is>
          <t>delivered</t>
        </is>
      </c>
      <c r="E54" s="7" t="n"/>
      <c r="F54" s="7" t="inlineStr">
        <is>
          <t>cash</t>
        </is>
      </c>
      <c r="G54" s="7" t="inlineStr"/>
      <c r="H54" s="10" t="n">
        <v>555</v>
      </c>
      <c r="I54" s="10" t="n">
        <v>0</v>
      </c>
      <c r="J54" s="10" t="n">
        <v>0</v>
      </c>
      <c r="K54" s="10" t="n">
        <v>0</v>
      </c>
      <c r="L54" s="10" t="n">
        <v>555</v>
      </c>
      <c r="M54" s="10" t="n">
        <v>27.76</v>
      </c>
      <c r="N54" s="10" t="n">
        <v>555</v>
      </c>
      <c r="O54" s="10" t="n">
        <v>27.75</v>
      </c>
      <c r="P54" s="10" t="n">
        <v>582.76</v>
      </c>
      <c r="Q54" s="7" t="inlineStr">
        <is>
          <t>24.0%</t>
        </is>
      </c>
      <c r="R54" s="10" t="n">
        <v>582.76</v>
      </c>
      <c r="S54" s="10" t="n">
        <v>139.86</v>
      </c>
      <c r="T54" s="10" t="n">
        <v>11.66</v>
      </c>
      <c r="U54" s="10" t="n">
        <v>-0</v>
      </c>
      <c r="V54" s="10" t="n">
        <v>178.8</v>
      </c>
      <c r="W54" s="10" t="n">
        <v>0</v>
      </c>
      <c r="X54" s="10" t="n">
        <v>27.75</v>
      </c>
      <c r="Y54" s="10" t="n">
        <v>27.28</v>
      </c>
      <c r="Z54" s="10" t="n">
        <v>0</v>
      </c>
      <c r="AA54" s="10" t="n">
        <v>0.5600000000000001</v>
      </c>
      <c r="AB54" s="10" t="n">
        <v>375.66</v>
      </c>
      <c r="AC54" s="7" t="inlineStr">
        <is>
          <t>Yes</t>
        </is>
      </c>
      <c r="AD54" s="23" t="n">
        <v>2.289</v>
      </c>
      <c r="AE54" s="7" t="inlineStr">
        <is>
          <t>206500dc-ba9e-4a58-be62-bb3f830ec1f3</t>
        </is>
      </c>
      <c r="AF54" s="7" t="inlineStr">
        <is>
          <t>23-09-2026</t>
        </is>
      </c>
    </row>
    <row r="55">
      <c r="A55" s="7" t="inlineStr">
        <is>
          <t>13 – 19 Sep</t>
        </is>
      </c>
      <c r="B55" s="7" t="inlineStr">
        <is>
          <t>248526510193508</t>
        </is>
      </c>
      <c r="C55" s="22" t="n">
        <v>46281.69340277778</v>
      </c>
      <c r="D55" s="7" t="inlineStr">
        <is>
          <t>delivered</t>
        </is>
      </c>
      <c r="E55" s="7" t="n"/>
      <c r="F55" s="7" t="inlineStr">
        <is>
          <t>cash</t>
        </is>
      </c>
      <c r="G55" s="7" t="inlineStr"/>
      <c r="H55" s="10" t="n">
        <v>660</v>
      </c>
      <c r="I55" s="10" t="n">
        <v>0</v>
      </c>
      <c r="J55" s="10" t="n">
        <v>0</v>
      </c>
      <c r="K55" s="10" t="n">
        <v>0</v>
      </c>
      <c r="L55" s="10" t="n">
        <v>660</v>
      </c>
      <c r="M55" s="10" t="n">
        <v>33</v>
      </c>
      <c r="N55" s="10" t="n">
        <v>660</v>
      </c>
      <c r="O55" s="10" t="n">
        <v>33</v>
      </c>
      <c r="P55" s="10" t="n">
        <v>693</v>
      </c>
      <c r="Q55" s="7" t="inlineStr">
        <is>
          <t>24.0%</t>
        </is>
      </c>
      <c r="R55" s="10" t="n">
        <v>693</v>
      </c>
      <c r="S55" s="10" t="n">
        <v>166.32</v>
      </c>
      <c r="T55" s="10" t="n">
        <v>13.86</v>
      </c>
      <c r="U55" s="10" t="n">
        <v>0</v>
      </c>
      <c r="V55" s="10" t="n">
        <v>212.62</v>
      </c>
      <c r="W55" s="10" t="n">
        <v>0</v>
      </c>
      <c r="X55" s="10" t="n">
        <v>33</v>
      </c>
      <c r="Y55" s="10" t="n">
        <v>32.44</v>
      </c>
      <c r="Z55" s="10" t="n">
        <v>0</v>
      </c>
      <c r="AA55" s="10" t="n">
        <v>0.66</v>
      </c>
      <c r="AB55" s="10" t="n">
        <v>446.74</v>
      </c>
      <c r="AC55" s="7" t="inlineStr">
        <is>
          <t>Yes</t>
        </is>
      </c>
      <c r="AD55" s="23" t="n">
        <v>3.17</v>
      </c>
      <c r="AE55" s="7" t="inlineStr">
        <is>
          <t>206500dc-ba9e-4a58-be62-bb3f830ec1f3</t>
        </is>
      </c>
      <c r="AF55" s="7" t="inlineStr">
        <is>
          <t>23-09-2026</t>
        </is>
      </c>
    </row>
    <row r="56">
      <c r="A56" s="7" t="inlineStr">
        <is>
          <t>13 – 19 Sep</t>
        </is>
      </c>
      <c r="B56" s="7" t="inlineStr">
        <is>
          <t>248538163189592</t>
        </is>
      </c>
      <c r="C56" s="22" t="n">
        <v>46281.82827546296</v>
      </c>
      <c r="D56" s="7" t="inlineStr">
        <is>
          <t>delivered</t>
        </is>
      </c>
      <c r="E56" s="7" t="n"/>
      <c r="F56" s="7" t="inlineStr">
        <is>
          <t>cash</t>
        </is>
      </c>
      <c r="G56" s="7" t="inlineStr"/>
      <c r="H56" s="10" t="n">
        <v>430</v>
      </c>
      <c r="I56" s="10" t="n">
        <v>0</v>
      </c>
      <c r="J56" s="10" t="n">
        <v>0</v>
      </c>
      <c r="K56" s="10" t="n">
        <v>0</v>
      </c>
      <c r="L56" s="10" t="n">
        <v>430</v>
      </c>
      <c r="M56" s="10" t="n">
        <v>21.5</v>
      </c>
      <c r="N56" s="10" t="n">
        <v>430</v>
      </c>
      <c r="O56" s="10" t="n">
        <v>21.5</v>
      </c>
      <c r="P56" s="10" t="n">
        <v>451.5</v>
      </c>
      <c r="Q56" s="7" t="inlineStr">
        <is>
          <t>24.0%</t>
        </is>
      </c>
      <c r="R56" s="10" t="n">
        <v>451.5</v>
      </c>
      <c r="S56" s="10" t="n">
        <v>108.36</v>
      </c>
      <c r="T56" s="10" t="n">
        <v>9.029999999999999</v>
      </c>
      <c r="U56" s="10" t="n">
        <v>0</v>
      </c>
      <c r="V56" s="10" t="n">
        <v>138.53</v>
      </c>
      <c r="W56" s="10" t="n">
        <v>0</v>
      </c>
      <c r="X56" s="10" t="n">
        <v>21.5</v>
      </c>
      <c r="Y56" s="10" t="n">
        <v>21.14</v>
      </c>
      <c r="Z56" s="10" t="n">
        <v>0</v>
      </c>
      <c r="AA56" s="10" t="n">
        <v>0.43</v>
      </c>
      <c r="AB56" s="10" t="n">
        <v>291.06</v>
      </c>
      <c r="AC56" s="7" t="inlineStr">
        <is>
          <t>Yes</t>
        </is>
      </c>
      <c r="AD56" s="23" t="n">
        <v>3.086</v>
      </c>
      <c r="AE56" s="7" t="inlineStr">
        <is>
          <t>206500dc-ba9e-4a58-be62-bb3f830ec1f3</t>
        </is>
      </c>
      <c r="AF56" s="7" t="inlineStr">
        <is>
          <t>23-09-2026</t>
        </is>
      </c>
    </row>
    <row r="57">
      <c r="A57" s="7" t="inlineStr">
        <is>
          <t>13 – 19 Sep</t>
        </is>
      </c>
      <c r="B57" s="7" t="inlineStr">
        <is>
          <t>248629650186468</t>
        </is>
      </c>
      <c r="C57" s="22" t="n">
        <v>46282.88715277778</v>
      </c>
      <c r="D57" s="7" t="inlineStr">
        <is>
          <t>delivered</t>
        </is>
      </c>
      <c r="E57" s="7" t="n"/>
      <c r="F57" s="7" t="inlineStr">
        <is>
          <t>prepaid</t>
        </is>
      </c>
      <c r="G57" s="7" t="inlineStr">
        <is>
          <t>PAYTMUPI</t>
        </is>
      </c>
      <c r="H57" s="10" t="n">
        <v>310</v>
      </c>
      <c r="I57" s="10" t="n">
        <v>0</v>
      </c>
      <c r="J57" s="10" t="n">
        <v>0</v>
      </c>
      <c r="K57" s="10" t="n">
        <v>0</v>
      </c>
      <c r="L57" s="10" t="n">
        <v>310</v>
      </c>
      <c r="M57" s="10" t="n">
        <v>15.5</v>
      </c>
      <c r="N57" s="10" t="n">
        <v>310</v>
      </c>
      <c r="O57" s="10" t="n">
        <v>15.5</v>
      </c>
      <c r="P57" s="10" t="n">
        <v>325.5</v>
      </c>
      <c r="Q57" s="7" t="inlineStr">
        <is>
          <t>24.0%</t>
        </is>
      </c>
      <c r="R57" s="10" t="n">
        <v>325.5</v>
      </c>
      <c r="S57" s="10" t="n">
        <v>78.12</v>
      </c>
      <c r="T57" s="10" t="n">
        <v>6.51</v>
      </c>
      <c r="U57" s="10" t="n">
        <v>0</v>
      </c>
      <c r="V57" s="10" t="n">
        <v>99.87</v>
      </c>
      <c r="W57" s="10" t="n">
        <v>0</v>
      </c>
      <c r="X57" s="10" t="n">
        <v>15.5</v>
      </c>
      <c r="Y57" s="10" t="n">
        <v>15.24</v>
      </c>
      <c r="Z57" s="10" t="n">
        <v>0</v>
      </c>
      <c r="AA57" s="10" t="n">
        <v>0.31</v>
      </c>
      <c r="AB57" s="10" t="n">
        <v>209.84</v>
      </c>
      <c r="AC57" s="7" t="inlineStr">
        <is>
          <t>Yes</t>
        </is>
      </c>
      <c r="AD57" s="23" t="n">
        <v>8.871</v>
      </c>
      <c r="AE57" s="7" t="inlineStr">
        <is>
          <t>649f9d31-786e-4b1e-ac72-91e4483b8bac</t>
        </is>
      </c>
      <c r="AF57" s="7" t="inlineStr">
        <is>
          <t>23-09-2026</t>
        </is>
      </c>
    </row>
    <row r="58">
      <c r="A58" s="7" t="inlineStr">
        <is>
          <t>13 – 19 Sep</t>
        </is>
      </c>
      <c r="B58" s="7" t="inlineStr">
        <is>
          <t>248681770129849</t>
        </is>
      </c>
      <c r="C58" s="22" t="n">
        <v>46283.49039351852</v>
      </c>
      <c r="D58" s="7" t="inlineStr">
        <is>
          <t>delivered</t>
        </is>
      </c>
      <c r="E58" s="7" t="n"/>
      <c r="F58" s="7" t="inlineStr">
        <is>
          <t>prepaid</t>
        </is>
      </c>
      <c r="G58" s="7" t="inlineStr"/>
      <c r="H58" s="10" t="n">
        <v>290</v>
      </c>
      <c r="I58" s="10" t="n">
        <v>0</v>
      </c>
      <c r="J58" s="10" t="n">
        <v>0</v>
      </c>
      <c r="K58" s="10" t="n">
        <v>0</v>
      </c>
      <c r="L58" s="10" t="n">
        <v>290</v>
      </c>
      <c r="M58" s="10" t="n">
        <v>14.5</v>
      </c>
      <c r="N58" s="10" t="n">
        <v>290</v>
      </c>
      <c r="O58" s="10" t="n">
        <v>14.5</v>
      </c>
      <c r="P58" s="10" t="n">
        <v>304.5</v>
      </c>
      <c r="Q58" s="7" t="inlineStr">
        <is>
          <t>24.0%</t>
        </is>
      </c>
      <c r="R58" s="10" t="n">
        <v>304.5</v>
      </c>
      <c r="S58" s="10" t="n">
        <v>73.08</v>
      </c>
      <c r="T58" s="10" t="n">
        <v>6.09</v>
      </c>
      <c r="U58" s="10" t="n">
        <v>0</v>
      </c>
      <c r="V58" s="10" t="n">
        <v>93.43000000000001</v>
      </c>
      <c r="W58" s="10" t="n">
        <v>0</v>
      </c>
      <c r="X58" s="10" t="n">
        <v>14.5</v>
      </c>
      <c r="Y58" s="10" t="n">
        <v>14.26</v>
      </c>
      <c r="Z58" s="10" t="n">
        <v>0</v>
      </c>
      <c r="AA58" s="10" t="n">
        <v>0.29</v>
      </c>
      <c r="AB58" s="10" t="n">
        <v>196.3</v>
      </c>
      <c r="AC58" s="7" t="inlineStr">
        <is>
          <t>No</t>
        </is>
      </c>
      <c r="AD58" s="23" t="n">
        <v>9.048999999999999</v>
      </c>
      <c r="AE58" s="7" t="inlineStr"/>
      <c r="AF58" s="7" t="inlineStr">
        <is>
          <t>23-09-2026</t>
        </is>
      </c>
    </row>
    <row r="59">
      <c r="A59" s="7" t="inlineStr">
        <is>
          <t>13 – 19 Sep</t>
        </is>
      </c>
      <c r="B59" s="7" t="inlineStr">
        <is>
          <t>248684221124498</t>
        </is>
      </c>
      <c r="C59" s="22" t="n">
        <v>46283.51876157407</v>
      </c>
      <c r="D59" s="7" t="inlineStr">
        <is>
          <t>delivered</t>
        </is>
      </c>
      <c r="E59" s="7" t="n"/>
      <c r="F59" s="7" t="inlineStr">
        <is>
          <t>prepaid</t>
        </is>
      </c>
      <c r="G59" s="7" t="inlineStr"/>
      <c r="H59" s="10" t="n">
        <v>640</v>
      </c>
      <c r="I59" s="10" t="n">
        <v>0</v>
      </c>
      <c r="J59" s="10" t="n">
        <v>0</v>
      </c>
      <c r="K59" s="10" t="n">
        <v>0</v>
      </c>
      <c r="L59" s="10" t="n">
        <v>640</v>
      </c>
      <c r="M59" s="10" t="n">
        <v>32</v>
      </c>
      <c r="N59" s="10" t="n">
        <v>640</v>
      </c>
      <c r="O59" s="10" t="n">
        <v>32</v>
      </c>
      <c r="P59" s="10" t="n">
        <v>672</v>
      </c>
      <c r="Q59" s="7" t="inlineStr">
        <is>
          <t>24.0%</t>
        </is>
      </c>
      <c r="R59" s="10" t="n">
        <v>672</v>
      </c>
      <c r="S59" s="10" t="n">
        <v>161.28</v>
      </c>
      <c r="T59" s="10" t="n">
        <v>13.44</v>
      </c>
      <c r="U59" s="10" t="n">
        <v>-0</v>
      </c>
      <c r="V59" s="10" t="n">
        <v>206.16</v>
      </c>
      <c r="W59" s="10" t="n">
        <v>0</v>
      </c>
      <c r="X59" s="10" t="n">
        <v>32</v>
      </c>
      <c r="Y59" s="10" t="n">
        <v>31.44</v>
      </c>
      <c r="Z59" s="10" t="n">
        <v>0</v>
      </c>
      <c r="AA59" s="10" t="n">
        <v>0.64</v>
      </c>
      <c r="AB59" s="10" t="n">
        <v>433.18</v>
      </c>
      <c r="AC59" s="7" t="inlineStr">
        <is>
          <t>Yes</t>
        </is>
      </c>
      <c r="AD59" s="23" t="n">
        <v>3.516</v>
      </c>
      <c r="AE59" s="7" t="inlineStr">
        <is>
          <t>206500dc-ba9e-4a58-be62-bb3f830ec1f3</t>
        </is>
      </c>
      <c r="AF59" s="7" t="inlineStr">
        <is>
          <t>23-09-2026</t>
        </is>
      </c>
    </row>
    <row r="60">
      <c r="A60" s="7" t="inlineStr">
        <is>
          <t>13 – 19 Sep</t>
        </is>
      </c>
      <c r="B60" s="7" t="inlineStr">
        <is>
          <t>248698648181774</t>
        </is>
      </c>
      <c r="C60" s="22" t="n">
        <v>46283.68574074074</v>
      </c>
      <c r="D60" s="7" t="inlineStr">
        <is>
          <t>delivered</t>
        </is>
      </c>
      <c r="E60" s="7" t="n"/>
      <c r="F60" s="7" t="inlineStr">
        <is>
          <t>prepaid</t>
        </is>
      </c>
      <c r="G60" s="7" t="inlineStr">
        <is>
          <t>SECRET4U</t>
        </is>
      </c>
      <c r="H60" s="10" t="n">
        <v>430</v>
      </c>
      <c r="I60" s="10" t="n">
        <v>0</v>
      </c>
      <c r="J60" s="10" t="n">
        <v>0</v>
      </c>
      <c r="K60" s="10" t="n">
        <v>0</v>
      </c>
      <c r="L60" s="10" t="n">
        <v>430</v>
      </c>
      <c r="M60" s="10" t="n">
        <v>21.5</v>
      </c>
      <c r="N60" s="10" t="n">
        <v>430</v>
      </c>
      <c r="O60" s="10" t="n">
        <v>21.5</v>
      </c>
      <c r="P60" s="10" t="n">
        <v>451.5</v>
      </c>
      <c r="Q60" s="7" t="inlineStr">
        <is>
          <t>24.0%</t>
        </is>
      </c>
      <c r="R60" s="10" t="n">
        <v>451.5</v>
      </c>
      <c r="S60" s="10" t="n">
        <v>108.36</v>
      </c>
      <c r="T60" s="10" t="n">
        <v>9.029999999999999</v>
      </c>
      <c r="U60" s="10" t="n">
        <v>0</v>
      </c>
      <c r="V60" s="10" t="n">
        <v>138.53</v>
      </c>
      <c r="W60" s="10" t="n">
        <v>0</v>
      </c>
      <c r="X60" s="10" t="n">
        <v>21.5</v>
      </c>
      <c r="Y60" s="10" t="n">
        <v>21.14</v>
      </c>
      <c r="Z60" s="10" t="n">
        <v>0</v>
      </c>
      <c r="AA60" s="10" t="n">
        <v>0.43</v>
      </c>
      <c r="AB60" s="10" t="n">
        <v>291.06</v>
      </c>
      <c r="AC60" s="7" t="inlineStr">
        <is>
          <t>No</t>
        </is>
      </c>
      <c r="AD60" s="23" t="n">
        <v>8.978</v>
      </c>
      <c r="AE60" s="7" t="inlineStr"/>
      <c r="AF60" s="7" t="inlineStr">
        <is>
          <t>23-09-2026</t>
        </is>
      </c>
    </row>
    <row r="61">
      <c r="A61" s="7" t="inlineStr">
        <is>
          <t>13 – 19 Sep</t>
        </is>
      </c>
      <c r="B61" s="7" t="inlineStr">
        <is>
          <t>248715391192676</t>
        </is>
      </c>
      <c r="C61" s="22" t="n">
        <v>46283.87952546297</v>
      </c>
      <c r="D61" s="7" t="inlineStr">
        <is>
          <t>delivered</t>
        </is>
      </c>
      <c r="E61" s="7" t="n"/>
      <c r="F61" s="7" t="inlineStr">
        <is>
          <t>prepaid</t>
        </is>
      </c>
      <c r="G61" s="7" t="inlineStr"/>
      <c r="H61" s="10" t="n">
        <v>630</v>
      </c>
      <c r="I61" s="10" t="n">
        <v>0</v>
      </c>
      <c r="J61" s="10" t="n">
        <v>0</v>
      </c>
      <c r="K61" s="10" t="n">
        <v>0</v>
      </c>
      <c r="L61" s="10" t="n">
        <v>630</v>
      </c>
      <c r="M61" s="10" t="n">
        <v>31.5</v>
      </c>
      <c r="N61" s="10" t="n">
        <v>630</v>
      </c>
      <c r="O61" s="10" t="n">
        <v>31.5</v>
      </c>
      <c r="P61" s="10" t="n">
        <v>661.5</v>
      </c>
      <c r="Q61" s="7" t="inlineStr">
        <is>
          <t>24.0%</t>
        </is>
      </c>
      <c r="R61" s="10" t="n">
        <v>661.5</v>
      </c>
      <c r="S61" s="10" t="n">
        <v>158.76</v>
      </c>
      <c r="T61" s="10" t="n">
        <v>13.23</v>
      </c>
      <c r="U61" s="10" t="n">
        <v>-0</v>
      </c>
      <c r="V61" s="10" t="n">
        <v>202.95</v>
      </c>
      <c r="W61" s="10" t="n">
        <v>0</v>
      </c>
      <c r="X61" s="10" t="n">
        <v>31.5</v>
      </c>
      <c r="Y61" s="10" t="n">
        <v>30.96</v>
      </c>
      <c r="Z61" s="10" t="n">
        <v>0</v>
      </c>
      <c r="AA61" s="10" t="n">
        <v>0.63</v>
      </c>
      <c r="AB61" s="10" t="n">
        <v>426.42</v>
      </c>
      <c r="AC61" s="7" t="inlineStr">
        <is>
          <t>Yes</t>
        </is>
      </c>
      <c r="AD61" s="23" t="n">
        <v>2.113</v>
      </c>
      <c r="AE61" s="7" t="inlineStr">
        <is>
          <t>206500dc-ba9e-4a58-be62-bb3f830ec1f3</t>
        </is>
      </c>
      <c r="AF61" s="7" t="inlineStr">
        <is>
          <t>23-09-2026</t>
        </is>
      </c>
    </row>
    <row r="62">
      <c r="A62" s="7" t="inlineStr">
        <is>
          <t>13 – 19 Sep</t>
        </is>
      </c>
      <c r="B62" s="7" t="inlineStr">
        <is>
          <t>248717469111214</t>
        </is>
      </c>
      <c r="C62" s="22" t="n">
        <v>46283.90357638889</v>
      </c>
      <c r="D62" s="7" t="inlineStr">
        <is>
          <t>delivered</t>
        </is>
      </c>
      <c r="E62" s="7" t="n"/>
      <c r="F62" s="7" t="inlineStr">
        <is>
          <t>prepaid</t>
        </is>
      </c>
      <c r="G62" s="7" t="inlineStr"/>
      <c r="H62" s="10" t="n">
        <v>290</v>
      </c>
      <c r="I62" s="10" t="n">
        <v>0</v>
      </c>
      <c r="J62" s="10" t="n">
        <v>0</v>
      </c>
      <c r="K62" s="10" t="n">
        <v>0</v>
      </c>
      <c r="L62" s="10" t="n">
        <v>290</v>
      </c>
      <c r="M62" s="10" t="n">
        <v>14.5</v>
      </c>
      <c r="N62" s="10" t="n">
        <v>290</v>
      </c>
      <c r="O62" s="10" t="n">
        <v>14.5</v>
      </c>
      <c r="P62" s="10" t="n">
        <v>304.5</v>
      </c>
      <c r="Q62" s="7" t="inlineStr">
        <is>
          <t>24.0%</t>
        </is>
      </c>
      <c r="R62" s="10" t="n">
        <v>304.5</v>
      </c>
      <c r="S62" s="10" t="n">
        <v>73.08</v>
      </c>
      <c r="T62" s="10" t="n">
        <v>6.09</v>
      </c>
      <c r="U62" s="10" t="n">
        <v>0</v>
      </c>
      <c r="V62" s="10" t="n">
        <v>93.43000000000001</v>
      </c>
      <c r="W62" s="10" t="n">
        <v>0</v>
      </c>
      <c r="X62" s="10" t="n">
        <v>14.5</v>
      </c>
      <c r="Y62" s="10" t="n">
        <v>14.26</v>
      </c>
      <c r="Z62" s="10" t="n">
        <v>0</v>
      </c>
      <c r="AA62" s="10" t="n">
        <v>0.29</v>
      </c>
      <c r="AB62" s="10" t="n">
        <v>196.3</v>
      </c>
      <c r="AC62" s="7" t="inlineStr">
        <is>
          <t>Yes</t>
        </is>
      </c>
      <c r="AD62" s="23" t="n">
        <v>2.695</v>
      </c>
      <c r="AE62" s="7" t="inlineStr">
        <is>
          <t>206500dc-ba9e-4a58-be62-bb3f830ec1f3,2fc715cc-a21a-4196-96a8-14e02663a803</t>
        </is>
      </c>
      <c r="AF62" s="7" t="inlineStr">
        <is>
          <t>23-09-2026</t>
        </is>
      </c>
    </row>
    <row r="63">
      <c r="A63" s="7" t="inlineStr">
        <is>
          <t>13 – 19 Sep</t>
        </is>
      </c>
      <c r="B63" s="7" t="inlineStr">
        <is>
          <t>248717658101051</t>
        </is>
      </c>
      <c r="C63" s="22" t="n">
        <v>46283.90576388889</v>
      </c>
      <c r="D63" s="7" t="inlineStr">
        <is>
          <t>delivered</t>
        </is>
      </c>
      <c r="E63" s="7" t="n"/>
      <c r="F63" s="7" t="inlineStr">
        <is>
          <t>cash</t>
        </is>
      </c>
      <c r="G63" s="7" t="inlineStr"/>
      <c r="H63" s="10" t="n">
        <v>890</v>
      </c>
      <c r="I63" s="10" t="n">
        <v>0</v>
      </c>
      <c r="J63" s="10" t="n">
        <v>0</v>
      </c>
      <c r="K63" s="10" t="n">
        <v>0</v>
      </c>
      <c r="L63" s="10" t="n">
        <v>890</v>
      </c>
      <c r="M63" s="10" t="n">
        <v>44.5</v>
      </c>
      <c r="N63" s="10" t="n">
        <v>890</v>
      </c>
      <c r="O63" s="10" t="n">
        <v>44.5</v>
      </c>
      <c r="P63" s="10" t="n">
        <v>934.5</v>
      </c>
      <c r="Q63" s="7" t="inlineStr">
        <is>
          <t>24.0%</t>
        </is>
      </c>
      <c r="R63" s="10" t="n">
        <v>934.5</v>
      </c>
      <c r="S63" s="10" t="n">
        <v>224.28</v>
      </c>
      <c r="T63" s="10" t="n">
        <v>18.69</v>
      </c>
      <c r="U63" s="10" t="n">
        <v>-0</v>
      </c>
      <c r="V63" s="10" t="n">
        <v>286.71</v>
      </c>
      <c r="W63" s="10" t="n">
        <v>0</v>
      </c>
      <c r="X63" s="10" t="n">
        <v>44.5</v>
      </c>
      <c r="Y63" s="10" t="n">
        <v>43.74</v>
      </c>
      <c r="Z63" s="10" t="n">
        <v>0</v>
      </c>
      <c r="AA63" s="10" t="n">
        <v>0.89</v>
      </c>
      <c r="AB63" s="10" t="n">
        <v>602.42</v>
      </c>
      <c r="AC63" s="7" t="inlineStr">
        <is>
          <t>No</t>
        </is>
      </c>
      <c r="AD63" s="23" t="n">
        <v>2.613</v>
      </c>
      <c r="AE63" s="7" t="inlineStr"/>
      <c r="AF63" s="7" t="inlineStr">
        <is>
          <t>23-09-2026</t>
        </is>
      </c>
    </row>
    <row r="64">
      <c r="A64" s="7" t="inlineStr">
        <is>
          <t>13 – 19 Sep</t>
        </is>
      </c>
      <c r="B64" s="7" t="inlineStr">
        <is>
          <t>248718244158516</t>
        </is>
      </c>
      <c r="C64" s="22" t="n">
        <v>46283.9125462963</v>
      </c>
      <c r="D64" s="7" t="inlineStr">
        <is>
          <t>delivered</t>
        </is>
      </c>
      <c r="E64" s="7" t="n"/>
      <c r="F64" s="7" t="inlineStr">
        <is>
          <t>prepaid</t>
        </is>
      </c>
      <c r="G64" s="7" t="inlineStr"/>
      <c r="H64" s="10" t="n">
        <v>290</v>
      </c>
      <c r="I64" s="10" t="n">
        <v>0</v>
      </c>
      <c r="J64" s="10" t="n">
        <v>0</v>
      </c>
      <c r="K64" s="10" t="n">
        <v>0</v>
      </c>
      <c r="L64" s="10" t="n">
        <v>290</v>
      </c>
      <c r="M64" s="10" t="n">
        <v>14.5</v>
      </c>
      <c r="N64" s="10" t="n">
        <v>290</v>
      </c>
      <c r="O64" s="10" t="n">
        <v>14.5</v>
      </c>
      <c r="P64" s="10" t="n">
        <v>304.5</v>
      </c>
      <c r="Q64" s="7" t="inlineStr">
        <is>
          <t>24.0%</t>
        </is>
      </c>
      <c r="R64" s="10" t="n">
        <v>304.5</v>
      </c>
      <c r="S64" s="10" t="n">
        <v>73.08</v>
      </c>
      <c r="T64" s="10" t="n">
        <v>6.09</v>
      </c>
      <c r="U64" s="10" t="n">
        <v>0</v>
      </c>
      <c r="V64" s="10" t="n">
        <v>93.43000000000001</v>
      </c>
      <c r="W64" s="10" t="n">
        <v>0</v>
      </c>
      <c r="X64" s="10" t="n">
        <v>14.5</v>
      </c>
      <c r="Y64" s="10" t="n">
        <v>14.26</v>
      </c>
      <c r="Z64" s="10" t="n">
        <v>0</v>
      </c>
      <c r="AA64" s="10" t="n">
        <v>0.29</v>
      </c>
      <c r="AB64" s="10" t="n">
        <v>196.3</v>
      </c>
      <c r="AC64" s="7" t="inlineStr">
        <is>
          <t>Yes</t>
        </is>
      </c>
      <c r="AD64" s="23" t="n">
        <v>5.342</v>
      </c>
      <c r="AE64" s="7" t="inlineStr">
        <is>
          <t>206500dc-ba9e-4a58-be62-bb3f830ec1f3</t>
        </is>
      </c>
      <c r="AF64" s="7" t="inlineStr">
        <is>
          <t>23-09-2026</t>
        </is>
      </c>
    </row>
    <row r="65">
      <c r="A65" s="24" t="inlineStr">
        <is>
          <t>13 – 19 Sep</t>
        </is>
      </c>
      <c r="B65" s="24" t="inlineStr">
        <is>
          <t>248773805195420</t>
        </is>
      </c>
      <c r="C65" s="25" t="n">
        <v>46284.55561342592</v>
      </c>
      <c r="D65" s="24" t="inlineStr">
        <is>
          <t>cancelled</t>
        </is>
      </c>
      <c r="E65" s="24" t="inlineStr">
        <is>
          <t>MERCHANT</t>
        </is>
      </c>
      <c r="F65" s="24" t="inlineStr">
        <is>
          <t>prepaid</t>
        </is>
      </c>
      <c r="G65" s="24" t="inlineStr">
        <is>
          <t>SECRET4U</t>
        </is>
      </c>
      <c r="H65" s="26" t="n">
        <v>0</v>
      </c>
      <c r="I65" s="26" t="n">
        <v>0</v>
      </c>
      <c r="J65" s="26" t="n">
        <v>0</v>
      </c>
      <c r="K65" s="26" t="n">
        <v>0</v>
      </c>
      <c r="L65" s="26" t="n">
        <v>0</v>
      </c>
      <c r="M65" s="26" t="n">
        <v>0</v>
      </c>
      <c r="N65" s="26" t="n">
        <v>0</v>
      </c>
      <c r="O65" s="26" t="n">
        <v>0</v>
      </c>
      <c r="P65" s="26" t="n">
        <v>0</v>
      </c>
      <c r="Q65" s="24" t="inlineStr">
        <is>
          <t>24.0%</t>
        </is>
      </c>
      <c r="R65" s="26" t="n">
        <v>0</v>
      </c>
      <c r="S65" s="26" t="n">
        <v>0</v>
      </c>
      <c r="T65" s="26" t="n">
        <v>0</v>
      </c>
      <c r="U65" s="26" t="n">
        <v>252.25</v>
      </c>
      <c r="V65" s="26" t="n">
        <v>297.65</v>
      </c>
      <c r="W65" s="26" t="n">
        <v>0</v>
      </c>
      <c r="X65" s="26" t="n">
        <v>0</v>
      </c>
      <c r="Y65" s="26" t="n">
        <v>45.4</v>
      </c>
      <c r="Z65" s="26" t="n">
        <v>0</v>
      </c>
      <c r="AA65" s="26" t="n">
        <v>0</v>
      </c>
      <c r="AB65" s="26" t="n">
        <v>-297.65</v>
      </c>
      <c r="AC65" s="24" t="inlineStr">
        <is>
          <t>Yes</t>
        </is>
      </c>
      <c r="AD65" s="27" t="n">
        <v>2.946</v>
      </c>
      <c r="AE65" s="24" t="inlineStr">
        <is>
          <t>711fc754-4304-4178-a84a-19e7d53c8509,719c0a05-66b6-4c2c-b350-bb95726dea2b</t>
        </is>
      </c>
      <c r="AF65" s="24" t="inlineStr">
        <is>
          <t>23-09-2026</t>
        </is>
      </c>
    </row>
    <row r="66">
      <c r="A66" s="7" t="inlineStr">
        <is>
          <t>13 – 19 Sep</t>
        </is>
      </c>
      <c r="B66" s="7" t="inlineStr">
        <is>
          <t>248776341134179</t>
        </is>
      </c>
      <c r="C66" s="22" t="n">
        <v>46284.58496527778</v>
      </c>
      <c r="D66" s="7" t="inlineStr">
        <is>
          <t>delivered</t>
        </is>
      </c>
      <c r="E66" s="7" t="n"/>
      <c r="F66" s="7" t="inlineStr">
        <is>
          <t>prepaid</t>
        </is>
      </c>
      <c r="G66" s="7" t="inlineStr"/>
      <c r="H66" s="10" t="n">
        <v>330</v>
      </c>
      <c r="I66" s="10" t="n">
        <v>0</v>
      </c>
      <c r="J66" s="10" t="n">
        <v>0</v>
      </c>
      <c r="K66" s="10" t="n">
        <v>0</v>
      </c>
      <c r="L66" s="10" t="n">
        <v>330</v>
      </c>
      <c r="M66" s="10" t="n">
        <v>16.5</v>
      </c>
      <c r="N66" s="10" t="n">
        <v>330</v>
      </c>
      <c r="O66" s="10" t="n">
        <v>16.5</v>
      </c>
      <c r="P66" s="10" t="n">
        <v>346.5</v>
      </c>
      <c r="Q66" s="7" t="inlineStr">
        <is>
          <t>24.0%</t>
        </is>
      </c>
      <c r="R66" s="10" t="n">
        <v>346.5</v>
      </c>
      <c r="S66" s="10" t="n">
        <v>83.16</v>
      </c>
      <c r="T66" s="10" t="n">
        <v>6.93</v>
      </c>
      <c r="U66" s="10" t="n">
        <v>0</v>
      </c>
      <c r="V66" s="10" t="n">
        <v>106.31</v>
      </c>
      <c r="W66" s="10" t="n">
        <v>0</v>
      </c>
      <c r="X66" s="10" t="n">
        <v>16.5</v>
      </c>
      <c r="Y66" s="10" t="n">
        <v>16.22</v>
      </c>
      <c r="Z66" s="10" t="n">
        <v>0</v>
      </c>
      <c r="AA66" s="10" t="n">
        <v>0.33</v>
      </c>
      <c r="AB66" s="10" t="n">
        <v>223.36</v>
      </c>
      <c r="AC66" s="7" t="inlineStr">
        <is>
          <t>Yes</t>
        </is>
      </c>
      <c r="AD66" s="23" t="n">
        <v>5.437</v>
      </c>
      <c r="AE66" s="7" t="inlineStr">
        <is>
          <t>206500dc-ba9e-4a58-be62-bb3f830ec1f3</t>
        </is>
      </c>
      <c r="AF66" s="7" t="inlineStr">
        <is>
          <t>23-09-2026</t>
        </is>
      </c>
    </row>
    <row r="67">
      <c r="A67" s="7" t="inlineStr">
        <is>
          <t>13 – 19 Sep</t>
        </is>
      </c>
      <c r="B67" s="7" t="inlineStr">
        <is>
          <t>248797791123341</t>
        </is>
      </c>
      <c r="C67" s="22" t="n">
        <v>46284.83322916667</v>
      </c>
      <c r="D67" s="7" t="inlineStr">
        <is>
          <t>delivered</t>
        </is>
      </c>
      <c r="E67" s="7" t="n"/>
      <c r="F67" s="7" t="inlineStr">
        <is>
          <t>prepaid</t>
        </is>
      </c>
      <c r="G67" s="7" t="inlineStr">
        <is>
          <t>SECRET4U</t>
        </is>
      </c>
      <c r="H67" s="10" t="n">
        <v>585</v>
      </c>
      <c r="I67" s="10" t="n">
        <v>0</v>
      </c>
      <c r="J67" s="10" t="n">
        <v>0</v>
      </c>
      <c r="K67" s="10" t="n">
        <v>0</v>
      </c>
      <c r="L67" s="10" t="n">
        <v>585</v>
      </c>
      <c r="M67" s="10" t="n">
        <v>29.26</v>
      </c>
      <c r="N67" s="10" t="n">
        <v>585</v>
      </c>
      <c r="O67" s="10" t="n">
        <v>29.25</v>
      </c>
      <c r="P67" s="10" t="n">
        <v>614.26</v>
      </c>
      <c r="Q67" s="7" t="inlineStr">
        <is>
          <t>24.0%</t>
        </is>
      </c>
      <c r="R67" s="10" t="n">
        <v>614.24</v>
      </c>
      <c r="S67" s="10" t="n">
        <v>147.42</v>
      </c>
      <c r="T67" s="10" t="n">
        <v>12.28</v>
      </c>
      <c r="U67" s="10" t="n">
        <v>0</v>
      </c>
      <c r="V67" s="10" t="n">
        <v>188.44</v>
      </c>
      <c r="W67" s="10" t="n">
        <v>0</v>
      </c>
      <c r="X67" s="10" t="n">
        <v>29.25</v>
      </c>
      <c r="Y67" s="10" t="n">
        <v>28.74</v>
      </c>
      <c r="Z67" s="10" t="n">
        <v>0</v>
      </c>
      <c r="AA67" s="10" t="n">
        <v>0.58</v>
      </c>
      <c r="AB67" s="10" t="n">
        <v>395.96</v>
      </c>
      <c r="AC67" s="7" t="inlineStr">
        <is>
          <t>No</t>
        </is>
      </c>
      <c r="AD67" s="23" t="n">
        <v>3.532</v>
      </c>
      <c r="AE67" s="7" t="inlineStr">
        <is>
          <t>c71a3578-e651-47e7-85e4-d127ba3713c7</t>
        </is>
      </c>
      <c r="AF67" s="7" t="inlineStr">
        <is>
          <t>23-09-2026</t>
        </is>
      </c>
    </row>
    <row r="68">
      <c r="A68" s="7" t="inlineStr">
        <is>
          <t>13 – 19 Sep</t>
        </is>
      </c>
      <c r="B68" s="7" t="inlineStr">
        <is>
          <t>248801525170229</t>
        </is>
      </c>
      <c r="C68" s="22" t="n">
        <v>46284.87644675926</v>
      </c>
      <c r="D68" s="7" t="inlineStr">
        <is>
          <t>delivered</t>
        </is>
      </c>
      <c r="E68" s="7" t="n"/>
      <c r="F68" s="7" t="inlineStr">
        <is>
          <t>prepaid</t>
        </is>
      </c>
      <c r="G68" s="7" t="inlineStr">
        <is>
          <t>PNBCC</t>
        </is>
      </c>
      <c r="H68" s="10" t="n">
        <v>625</v>
      </c>
      <c r="I68" s="10" t="n">
        <v>0</v>
      </c>
      <c r="J68" s="10" t="n">
        <v>0</v>
      </c>
      <c r="K68" s="10" t="n">
        <v>0</v>
      </c>
      <c r="L68" s="10" t="n">
        <v>625</v>
      </c>
      <c r="M68" s="10" t="n">
        <v>31.26</v>
      </c>
      <c r="N68" s="10" t="n">
        <v>625</v>
      </c>
      <c r="O68" s="10" t="n">
        <v>31.25</v>
      </c>
      <c r="P68" s="10" t="n">
        <v>656.26</v>
      </c>
      <c r="Q68" s="7" t="inlineStr">
        <is>
          <t>24.0%</t>
        </is>
      </c>
      <c r="R68" s="10" t="n">
        <v>656.24</v>
      </c>
      <c r="S68" s="10" t="n">
        <v>157.5</v>
      </c>
      <c r="T68" s="10" t="n">
        <v>13.12</v>
      </c>
      <c r="U68" s="10" t="n">
        <v>0</v>
      </c>
      <c r="V68" s="10" t="n">
        <v>201.34</v>
      </c>
      <c r="W68" s="10" t="n">
        <v>0</v>
      </c>
      <c r="X68" s="10" t="n">
        <v>31.25</v>
      </c>
      <c r="Y68" s="10" t="n">
        <v>30.72</v>
      </c>
      <c r="Z68" s="10" t="n">
        <v>0</v>
      </c>
      <c r="AA68" s="10" t="n">
        <v>0.62</v>
      </c>
      <c r="AB68" s="10" t="n">
        <v>423.05</v>
      </c>
      <c r="AC68" s="7" t="inlineStr">
        <is>
          <t>Yes</t>
        </is>
      </c>
      <c r="AD68" s="23" t="n">
        <v>3.037</v>
      </c>
      <c r="AE68" s="7" t="inlineStr">
        <is>
          <t>206500dc-ba9e-4a58-be62-bb3f830ec1f3</t>
        </is>
      </c>
      <c r="AF68" s="7" t="inlineStr">
        <is>
          <t>23-09-2026</t>
        </is>
      </c>
    </row>
    <row r="69">
      <c r="A69" s="7" t="inlineStr">
        <is>
          <t>13 – 19 Sep</t>
        </is>
      </c>
      <c r="B69" s="7" t="inlineStr">
        <is>
          <t>248802229189963</t>
        </is>
      </c>
      <c r="C69" s="22" t="n">
        <v>46284.88459490741</v>
      </c>
      <c r="D69" s="7" t="inlineStr">
        <is>
          <t>delivered</t>
        </is>
      </c>
      <c r="E69" s="7" t="n"/>
      <c r="F69" s="7" t="inlineStr">
        <is>
          <t>prepaid</t>
        </is>
      </c>
      <c r="G69" s="7" t="inlineStr"/>
      <c r="H69" s="10" t="n">
        <v>750</v>
      </c>
      <c r="I69" s="10" t="n">
        <v>0</v>
      </c>
      <c r="J69" s="10" t="n">
        <v>0</v>
      </c>
      <c r="K69" s="10" t="n">
        <v>0</v>
      </c>
      <c r="L69" s="10" t="n">
        <v>750</v>
      </c>
      <c r="M69" s="10" t="n">
        <v>37.5</v>
      </c>
      <c r="N69" s="10" t="n">
        <v>750</v>
      </c>
      <c r="O69" s="10" t="n">
        <v>37.5</v>
      </c>
      <c r="P69" s="10" t="n">
        <v>787.5</v>
      </c>
      <c r="Q69" s="7" t="inlineStr">
        <is>
          <t>24.0%</t>
        </is>
      </c>
      <c r="R69" s="10" t="n">
        <v>787.5</v>
      </c>
      <c r="S69" s="10" t="n">
        <v>189</v>
      </c>
      <c r="T69" s="10" t="n">
        <v>15.75</v>
      </c>
      <c r="U69" s="10" t="n">
        <v>0</v>
      </c>
      <c r="V69" s="10" t="n">
        <v>241.61</v>
      </c>
      <c r="W69" s="10" t="n">
        <v>0</v>
      </c>
      <c r="X69" s="10" t="n">
        <v>37.5</v>
      </c>
      <c r="Y69" s="10" t="n">
        <v>36.86</v>
      </c>
      <c r="Z69" s="10" t="n">
        <v>0</v>
      </c>
      <c r="AA69" s="10" t="n">
        <v>0.75</v>
      </c>
      <c r="AB69" s="10" t="n">
        <v>507.65</v>
      </c>
      <c r="AC69" s="7" t="inlineStr">
        <is>
          <t>No</t>
        </is>
      </c>
      <c r="AD69" s="23" t="n">
        <v>8.585000000000001</v>
      </c>
      <c r="AE69" s="7" t="inlineStr"/>
      <c r="AF69" s="7" t="inlineStr">
        <is>
          <t>23-09-2026</t>
        </is>
      </c>
    </row>
    <row r="70">
      <c r="A70" s="11" t="inlineStr">
        <is>
          <t>20 – 26 Sep</t>
        </is>
      </c>
      <c r="B70" s="11" t="inlineStr">
        <is>
          <t>248888271168778</t>
        </is>
      </c>
      <c r="C70" s="28" t="n">
        <v>46285.88045138889</v>
      </c>
      <c r="D70" s="11" t="inlineStr">
        <is>
          <t>delivered</t>
        </is>
      </c>
      <c r="E70" s="11" t="n"/>
      <c r="F70" s="11" t="inlineStr">
        <is>
          <t>cash</t>
        </is>
      </c>
      <c r="G70" s="11" t="inlineStr"/>
      <c r="H70" s="14" t="n">
        <v>330</v>
      </c>
      <c r="I70" s="14" t="n">
        <v>0</v>
      </c>
      <c r="J70" s="14" t="n">
        <v>0</v>
      </c>
      <c r="K70" s="14" t="n">
        <v>0</v>
      </c>
      <c r="L70" s="14" t="n">
        <v>330</v>
      </c>
      <c r="M70" s="14" t="n">
        <v>16.5</v>
      </c>
      <c r="N70" s="14" t="n">
        <v>330</v>
      </c>
      <c r="O70" s="14" t="n">
        <v>16.5</v>
      </c>
      <c r="P70" s="14" t="n">
        <v>346.5</v>
      </c>
      <c r="Q70" s="11" t="inlineStr">
        <is>
          <t>24.0%</t>
        </is>
      </c>
      <c r="R70" s="14" t="n">
        <v>346.5</v>
      </c>
      <c r="S70" s="14" t="n">
        <v>83.16</v>
      </c>
      <c r="T70" s="14" t="n">
        <v>6.93</v>
      </c>
      <c r="U70" s="14" t="n">
        <v>0</v>
      </c>
      <c r="V70" s="14" t="n">
        <v>106.31</v>
      </c>
      <c r="W70" s="14" t="n">
        <v>0</v>
      </c>
      <c r="X70" s="14" t="n">
        <v>16.5</v>
      </c>
      <c r="Y70" s="14" t="n">
        <v>16.22</v>
      </c>
      <c r="Z70" s="14" t="n">
        <v>0</v>
      </c>
      <c r="AA70" s="14" t="n">
        <v>0.33</v>
      </c>
      <c r="AB70" s="14" t="n">
        <v>223.36</v>
      </c>
      <c r="AC70" s="11" t="inlineStr">
        <is>
          <t>Yes</t>
        </is>
      </c>
      <c r="AD70" s="29" t="n">
        <v>3.159</v>
      </c>
      <c r="AE70" s="11" t="inlineStr">
        <is>
          <t>206500dc-ba9e-4a58-be62-bb3f830ec1f3</t>
        </is>
      </c>
      <c r="AF70" s="11" t="inlineStr">
        <is>
          <t>01-10-2026</t>
        </is>
      </c>
    </row>
    <row r="71">
      <c r="A71" s="11" t="inlineStr">
        <is>
          <t>20 – 26 Sep</t>
        </is>
      </c>
      <c r="B71" s="11" t="inlineStr">
        <is>
          <t>248892001168783</t>
        </is>
      </c>
      <c r="C71" s="28" t="n">
        <v>46285.92362268519</v>
      </c>
      <c r="D71" s="11" t="inlineStr">
        <is>
          <t>delivered</t>
        </is>
      </c>
      <c r="E71" s="11" t="n"/>
      <c r="F71" s="11" t="inlineStr">
        <is>
          <t>cash</t>
        </is>
      </c>
      <c r="G71" s="11" t="inlineStr"/>
      <c r="H71" s="14" t="n">
        <v>330</v>
      </c>
      <c r="I71" s="14" t="n">
        <v>0</v>
      </c>
      <c r="J71" s="14" t="n">
        <v>0</v>
      </c>
      <c r="K71" s="14" t="n">
        <v>0</v>
      </c>
      <c r="L71" s="14" t="n">
        <v>330</v>
      </c>
      <c r="M71" s="14" t="n">
        <v>16.5</v>
      </c>
      <c r="N71" s="14" t="n">
        <v>330</v>
      </c>
      <c r="O71" s="14" t="n">
        <v>16.5</v>
      </c>
      <c r="P71" s="14" t="n">
        <v>346.5</v>
      </c>
      <c r="Q71" s="11" t="inlineStr">
        <is>
          <t>24.0%</t>
        </is>
      </c>
      <c r="R71" s="14" t="n">
        <v>346.5</v>
      </c>
      <c r="S71" s="14" t="n">
        <v>83.16</v>
      </c>
      <c r="T71" s="14" t="n">
        <v>6.93</v>
      </c>
      <c r="U71" s="14" t="n">
        <v>0</v>
      </c>
      <c r="V71" s="14" t="n">
        <v>106.31</v>
      </c>
      <c r="W71" s="14" t="n">
        <v>0</v>
      </c>
      <c r="X71" s="14" t="n">
        <v>16.5</v>
      </c>
      <c r="Y71" s="14" t="n">
        <v>16.22</v>
      </c>
      <c r="Z71" s="14" t="n">
        <v>0</v>
      </c>
      <c r="AA71" s="14" t="n">
        <v>0.33</v>
      </c>
      <c r="AB71" s="14" t="n">
        <v>223.36</v>
      </c>
      <c r="AC71" s="11" t="inlineStr">
        <is>
          <t>Yes</t>
        </is>
      </c>
      <c r="AD71" s="29" t="n">
        <v>3.042</v>
      </c>
      <c r="AE71" s="11" t="inlineStr">
        <is>
          <t>711fc754-4304-4178-a84a-19e7d53c8509,08038453-75b9-447d-9000-179a92203388</t>
        </is>
      </c>
      <c r="AF71" s="11" t="inlineStr">
        <is>
          <t>01-10-2026</t>
        </is>
      </c>
    </row>
    <row r="72">
      <c r="A72" s="11" t="inlineStr">
        <is>
          <t>20 – 26 Sep</t>
        </is>
      </c>
      <c r="B72" s="11" t="inlineStr">
        <is>
          <t>249058005161777</t>
        </is>
      </c>
      <c r="C72" s="28" t="n">
        <v>46287.84496527778</v>
      </c>
      <c r="D72" s="11" t="inlineStr">
        <is>
          <t>delivered</t>
        </is>
      </c>
      <c r="E72" s="11" t="n"/>
      <c r="F72" s="11" t="inlineStr">
        <is>
          <t>cash</t>
        </is>
      </c>
      <c r="G72" s="11" t="inlineStr"/>
      <c r="H72" s="14" t="n">
        <v>920</v>
      </c>
      <c r="I72" s="14" t="n">
        <v>0</v>
      </c>
      <c r="J72" s="14" t="n">
        <v>0</v>
      </c>
      <c r="K72" s="14" t="n">
        <v>0</v>
      </c>
      <c r="L72" s="14" t="n">
        <v>920</v>
      </c>
      <c r="M72" s="14" t="n">
        <v>46</v>
      </c>
      <c r="N72" s="14" t="n">
        <v>920</v>
      </c>
      <c r="O72" s="14" t="n">
        <v>46</v>
      </c>
      <c r="P72" s="14" t="n">
        <v>966</v>
      </c>
      <c r="Q72" s="11" t="inlineStr">
        <is>
          <t>24.0%</t>
        </is>
      </c>
      <c r="R72" s="14" t="n">
        <v>966</v>
      </c>
      <c r="S72" s="14" t="n">
        <v>231.84</v>
      </c>
      <c r="T72" s="14" t="n">
        <v>19.32</v>
      </c>
      <c r="U72" s="14" t="n">
        <v>0</v>
      </c>
      <c r="V72" s="14" t="n">
        <v>296.36</v>
      </c>
      <c r="W72" s="14" t="n">
        <v>0</v>
      </c>
      <c r="X72" s="14" t="n">
        <v>46</v>
      </c>
      <c r="Y72" s="14" t="n">
        <v>45.2</v>
      </c>
      <c r="Z72" s="14" t="n">
        <v>0</v>
      </c>
      <c r="AA72" s="14" t="n">
        <v>0.92</v>
      </c>
      <c r="AB72" s="14" t="n">
        <v>622.7</v>
      </c>
      <c r="AC72" s="11" t="inlineStr">
        <is>
          <t>No</t>
        </is>
      </c>
      <c r="AD72" s="29" t="n">
        <v>2.895</v>
      </c>
      <c r="AE72" s="11" t="inlineStr"/>
      <c r="AF72" s="11" t="inlineStr">
        <is>
          <t>01-10-2026</t>
        </is>
      </c>
    </row>
    <row r="73">
      <c r="A73" s="11" t="inlineStr">
        <is>
          <t>20 – 26 Sep</t>
        </is>
      </c>
      <c r="B73" s="11" t="inlineStr">
        <is>
          <t>249062054177669</t>
        </is>
      </c>
      <c r="C73" s="28" t="n">
        <v>46287.8918287037</v>
      </c>
      <c r="D73" s="11" t="inlineStr">
        <is>
          <t>delivered</t>
        </is>
      </c>
      <c r="E73" s="11" t="n"/>
      <c r="F73" s="11" t="inlineStr">
        <is>
          <t>prepaid</t>
        </is>
      </c>
      <c r="G73" s="11" t="inlineStr"/>
      <c r="H73" s="14" t="n">
        <v>913.33</v>
      </c>
      <c r="I73" s="14" t="n">
        <v>0</v>
      </c>
      <c r="J73" s="14" t="n">
        <v>0</v>
      </c>
      <c r="K73" s="14" t="n">
        <v>0</v>
      </c>
      <c r="L73" s="14" t="n">
        <v>913.33</v>
      </c>
      <c r="M73" s="14" t="n">
        <v>45.66</v>
      </c>
      <c r="N73" s="14" t="n">
        <v>913.33</v>
      </c>
      <c r="O73" s="14" t="n">
        <v>45.67</v>
      </c>
      <c r="P73" s="14" t="n">
        <v>958.9900000000001</v>
      </c>
      <c r="Q73" s="11" t="inlineStr">
        <is>
          <t>24.0%</t>
        </is>
      </c>
      <c r="R73" s="14" t="n">
        <v>958.99</v>
      </c>
      <c r="S73" s="14" t="n">
        <v>230.16</v>
      </c>
      <c r="T73" s="14" t="n">
        <v>19.18</v>
      </c>
      <c r="U73" s="14" t="n">
        <v>0</v>
      </c>
      <c r="V73" s="14" t="n">
        <v>294.22</v>
      </c>
      <c r="W73" s="14" t="n">
        <v>0</v>
      </c>
      <c r="X73" s="14" t="n">
        <v>45.67</v>
      </c>
      <c r="Y73" s="14" t="n">
        <v>44.88</v>
      </c>
      <c r="Z73" s="14" t="n">
        <v>0</v>
      </c>
      <c r="AA73" s="14" t="n">
        <v>0.91</v>
      </c>
      <c r="AB73" s="14" t="n">
        <v>618.2</v>
      </c>
      <c r="AC73" s="11" t="inlineStr">
        <is>
          <t>Yes</t>
        </is>
      </c>
      <c r="AD73" s="29" t="n">
        <v>2.179</v>
      </c>
      <c r="AE73" s="11" t="inlineStr">
        <is>
          <t>206500dc-ba9e-4a58-be62-bb3f830ec1f3</t>
        </is>
      </c>
      <c r="AF73" s="11" t="inlineStr">
        <is>
          <t>01-10-2026</t>
        </is>
      </c>
    </row>
    <row r="74">
      <c r="A74" s="11" t="inlineStr">
        <is>
          <t>20 – 26 Sep</t>
        </is>
      </c>
      <c r="B74" s="11" t="inlineStr">
        <is>
          <t>249120699174544</t>
        </is>
      </c>
      <c r="C74" s="28" t="n">
        <v>46288.57059027778</v>
      </c>
      <c r="D74" s="11" t="inlineStr">
        <is>
          <t>delivered</t>
        </is>
      </c>
      <c r="E74" s="11" t="n"/>
      <c r="F74" s="11" t="inlineStr">
        <is>
          <t>prepaid</t>
        </is>
      </c>
      <c r="G74" s="11" t="inlineStr"/>
      <c r="H74" s="14" t="n">
        <v>330</v>
      </c>
      <c r="I74" s="14" t="n">
        <v>0</v>
      </c>
      <c r="J74" s="14" t="n">
        <v>0</v>
      </c>
      <c r="K74" s="14" t="n">
        <v>0</v>
      </c>
      <c r="L74" s="14" t="n">
        <v>330</v>
      </c>
      <c r="M74" s="14" t="n">
        <v>16.5</v>
      </c>
      <c r="N74" s="14" t="n">
        <v>330</v>
      </c>
      <c r="O74" s="14" t="n">
        <v>16.5</v>
      </c>
      <c r="P74" s="14" t="n">
        <v>346.5</v>
      </c>
      <c r="Q74" s="11" t="inlineStr">
        <is>
          <t>24.0%</t>
        </is>
      </c>
      <c r="R74" s="14" t="n">
        <v>346.5</v>
      </c>
      <c r="S74" s="14" t="n">
        <v>83.16</v>
      </c>
      <c r="T74" s="14" t="n">
        <v>6.93</v>
      </c>
      <c r="U74" s="14" t="n">
        <v>0</v>
      </c>
      <c r="V74" s="14" t="n">
        <v>106.31</v>
      </c>
      <c r="W74" s="14" t="n">
        <v>0</v>
      </c>
      <c r="X74" s="14" t="n">
        <v>16.5</v>
      </c>
      <c r="Y74" s="14" t="n">
        <v>16.22</v>
      </c>
      <c r="Z74" s="14" t="n">
        <v>0</v>
      </c>
      <c r="AA74" s="14" t="n">
        <v>0.33</v>
      </c>
      <c r="AB74" s="14" t="n">
        <v>223.36</v>
      </c>
      <c r="AC74" s="11" t="inlineStr">
        <is>
          <t>Yes</t>
        </is>
      </c>
      <c r="AD74" s="29" t="n">
        <v>3.459</v>
      </c>
      <c r="AE74" s="11" t="inlineStr">
        <is>
          <t>206500dc-ba9e-4a58-be62-bb3f830ec1f3</t>
        </is>
      </c>
      <c r="AF74" s="11" t="inlineStr">
        <is>
          <t>01-10-2026</t>
        </is>
      </c>
    </row>
    <row r="75">
      <c r="A75" s="11" t="inlineStr">
        <is>
          <t>20 – 26 Sep</t>
        </is>
      </c>
      <c r="B75" s="11" t="inlineStr">
        <is>
          <t>249222397172014</t>
        </is>
      </c>
      <c r="C75" s="28" t="n">
        <v>46289.74765046296</v>
      </c>
      <c r="D75" s="11" t="inlineStr">
        <is>
          <t>delivered</t>
        </is>
      </c>
      <c r="E75" s="11" t="n"/>
      <c r="F75" s="11" t="inlineStr">
        <is>
          <t>prepaid</t>
        </is>
      </c>
      <c r="G75" s="11" t="inlineStr">
        <is>
          <t>PAYTMUPI</t>
        </is>
      </c>
      <c r="H75" s="14" t="n">
        <v>300</v>
      </c>
      <c r="I75" s="14" t="n">
        <v>0</v>
      </c>
      <c r="J75" s="14" t="n">
        <v>0</v>
      </c>
      <c r="K75" s="14" t="n">
        <v>0</v>
      </c>
      <c r="L75" s="14" t="n">
        <v>300</v>
      </c>
      <c r="M75" s="14" t="n">
        <v>15</v>
      </c>
      <c r="N75" s="14" t="n">
        <v>300</v>
      </c>
      <c r="O75" s="14" t="n">
        <v>15</v>
      </c>
      <c r="P75" s="14" t="n">
        <v>315</v>
      </c>
      <c r="Q75" s="11" t="inlineStr">
        <is>
          <t>24.0%</t>
        </is>
      </c>
      <c r="R75" s="14" t="n">
        <v>315</v>
      </c>
      <c r="S75" s="14" t="n">
        <v>75.59999999999999</v>
      </c>
      <c r="T75" s="14" t="n">
        <v>6.3</v>
      </c>
      <c r="U75" s="14" t="n">
        <v>0</v>
      </c>
      <c r="V75" s="14" t="n">
        <v>96.64</v>
      </c>
      <c r="W75" s="14" t="n">
        <v>0</v>
      </c>
      <c r="X75" s="14" t="n">
        <v>15</v>
      </c>
      <c r="Y75" s="14" t="n">
        <v>14.74</v>
      </c>
      <c r="Z75" s="14" t="n">
        <v>0</v>
      </c>
      <c r="AA75" s="14" t="n">
        <v>0.3</v>
      </c>
      <c r="AB75" s="14" t="n">
        <v>203.06</v>
      </c>
      <c r="AC75" s="11" t="inlineStr">
        <is>
          <t>No</t>
        </is>
      </c>
      <c r="AD75" s="29" t="n">
        <v>0.577</v>
      </c>
      <c r="AE75" s="11" t="inlineStr"/>
      <c r="AF75" s="11" t="inlineStr">
        <is>
          <t>01-10-2026</t>
        </is>
      </c>
    </row>
    <row r="76">
      <c r="A76" s="11" t="inlineStr">
        <is>
          <t>20 – 26 Sep</t>
        </is>
      </c>
      <c r="B76" s="11" t="inlineStr">
        <is>
          <t>249233165144025</t>
        </is>
      </c>
      <c r="C76" s="28" t="n">
        <v>46289.87228009259</v>
      </c>
      <c r="D76" s="11" t="inlineStr">
        <is>
          <t>delivered</t>
        </is>
      </c>
      <c r="E76" s="11" t="n"/>
      <c r="F76" s="11" t="inlineStr">
        <is>
          <t>prepaid</t>
        </is>
      </c>
      <c r="G76" s="11" t="inlineStr"/>
      <c r="H76" s="14" t="n">
        <v>420</v>
      </c>
      <c r="I76" s="14" t="n">
        <v>0</v>
      </c>
      <c r="J76" s="14" t="n">
        <v>0</v>
      </c>
      <c r="K76" s="14" t="n">
        <v>0</v>
      </c>
      <c r="L76" s="14" t="n">
        <v>420</v>
      </c>
      <c r="M76" s="14" t="n">
        <v>21</v>
      </c>
      <c r="N76" s="14" t="n">
        <v>420</v>
      </c>
      <c r="O76" s="14" t="n">
        <v>21</v>
      </c>
      <c r="P76" s="14" t="n">
        <v>441</v>
      </c>
      <c r="Q76" s="11" t="inlineStr">
        <is>
          <t>24.0%</t>
        </is>
      </c>
      <c r="R76" s="14" t="n">
        <v>441</v>
      </c>
      <c r="S76" s="14" t="n">
        <v>105.84</v>
      </c>
      <c r="T76" s="14" t="n">
        <v>8.82</v>
      </c>
      <c r="U76" s="14" t="n">
        <v>0</v>
      </c>
      <c r="V76" s="14" t="n">
        <v>135.3</v>
      </c>
      <c r="W76" s="14" t="n">
        <v>0</v>
      </c>
      <c r="X76" s="14" t="n">
        <v>21</v>
      </c>
      <c r="Y76" s="14" t="n">
        <v>20.64</v>
      </c>
      <c r="Z76" s="14" t="n">
        <v>0</v>
      </c>
      <c r="AA76" s="14" t="n">
        <v>0.42</v>
      </c>
      <c r="AB76" s="14" t="n">
        <v>284.28</v>
      </c>
      <c r="AC76" s="11" t="inlineStr">
        <is>
          <t>Yes</t>
        </is>
      </c>
      <c r="AD76" s="29" t="n">
        <v>2.23</v>
      </c>
      <c r="AE76" s="11" t="inlineStr">
        <is>
          <t>206500dc-ba9e-4a58-be62-bb3f830ec1f3</t>
        </is>
      </c>
      <c r="AF76" s="11" t="inlineStr">
        <is>
          <t>01-10-2026</t>
        </is>
      </c>
    </row>
    <row r="77">
      <c r="A77" s="11" t="inlineStr">
        <is>
          <t>20 – 26 Sep</t>
        </is>
      </c>
      <c r="B77" s="11" t="inlineStr">
        <is>
          <t>249407685169966</t>
        </is>
      </c>
      <c r="C77" s="28" t="n">
        <v>46291.8921875</v>
      </c>
      <c r="D77" s="11" t="inlineStr">
        <is>
          <t>delivered</t>
        </is>
      </c>
      <c r="E77" s="11" t="n"/>
      <c r="F77" s="11" t="inlineStr">
        <is>
          <t>prepaid</t>
        </is>
      </c>
      <c r="G77" s="11" t="inlineStr">
        <is>
          <t>AXIS120</t>
        </is>
      </c>
      <c r="H77" s="14" t="n">
        <v>545</v>
      </c>
      <c r="I77" s="14" t="n">
        <v>0</v>
      </c>
      <c r="J77" s="14" t="n">
        <v>0</v>
      </c>
      <c r="K77" s="14" t="n">
        <v>0</v>
      </c>
      <c r="L77" s="14" t="n">
        <v>545</v>
      </c>
      <c r="M77" s="14" t="n">
        <v>27.26</v>
      </c>
      <c r="N77" s="14" t="n">
        <v>545</v>
      </c>
      <c r="O77" s="14" t="n">
        <v>27.25</v>
      </c>
      <c r="P77" s="14" t="n">
        <v>572.26</v>
      </c>
      <c r="Q77" s="11" t="inlineStr">
        <is>
          <t>24.0%</t>
        </is>
      </c>
      <c r="R77" s="14" t="n">
        <v>572.24</v>
      </c>
      <c r="S77" s="14" t="n">
        <v>137.34</v>
      </c>
      <c r="T77" s="14" t="n">
        <v>11.44</v>
      </c>
      <c r="U77" s="14" t="n">
        <v>0</v>
      </c>
      <c r="V77" s="14" t="n">
        <v>175.56</v>
      </c>
      <c r="W77" s="14" t="n">
        <v>0</v>
      </c>
      <c r="X77" s="14" t="n">
        <v>27.25</v>
      </c>
      <c r="Y77" s="14" t="n">
        <v>26.78</v>
      </c>
      <c r="Z77" s="14" t="n">
        <v>0</v>
      </c>
      <c r="AA77" s="14" t="n">
        <v>0.55</v>
      </c>
      <c r="AB77" s="14" t="n">
        <v>368.89</v>
      </c>
      <c r="AC77" s="11" t="inlineStr">
        <is>
          <t>Yes</t>
        </is>
      </c>
      <c r="AD77" s="29" t="n">
        <v>3.983</v>
      </c>
      <c r="AE77" s="11" t="inlineStr">
        <is>
          <t>206500dc-ba9e-4a58-be62-bb3f830ec1f3</t>
        </is>
      </c>
      <c r="AF77" s="11" t="inlineStr">
        <is>
          <t>01-10-2026</t>
        </is>
      </c>
    </row>
    <row r="78">
      <c r="A78" s="11" t="inlineStr">
        <is>
          <t>20 – 26 Sep</t>
        </is>
      </c>
      <c r="B78" s="11" t="inlineStr">
        <is>
          <t>249409054179105</t>
        </is>
      </c>
      <c r="C78" s="28" t="n">
        <v>46291.90803240741</v>
      </c>
      <c r="D78" s="11" t="inlineStr">
        <is>
          <t>delivered</t>
        </is>
      </c>
      <c r="E78" s="11" t="n"/>
      <c r="F78" s="11" t="inlineStr">
        <is>
          <t>prepaid</t>
        </is>
      </c>
      <c r="G78" s="11" t="inlineStr"/>
      <c r="H78" s="14" t="n">
        <v>255</v>
      </c>
      <c r="I78" s="14" t="n">
        <v>0</v>
      </c>
      <c r="J78" s="14" t="n">
        <v>0</v>
      </c>
      <c r="K78" s="14" t="n">
        <v>0</v>
      </c>
      <c r="L78" s="14" t="n">
        <v>255</v>
      </c>
      <c r="M78" s="14" t="n">
        <v>12.76</v>
      </c>
      <c r="N78" s="14" t="n">
        <v>255</v>
      </c>
      <c r="O78" s="14" t="n">
        <v>12.75</v>
      </c>
      <c r="P78" s="14" t="n">
        <v>267.76</v>
      </c>
      <c r="Q78" s="11" t="inlineStr">
        <is>
          <t>24.0%</t>
        </is>
      </c>
      <c r="R78" s="14" t="n">
        <v>267.76</v>
      </c>
      <c r="S78" s="14" t="n">
        <v>64.26000000000001</v>
      </c>
      <c r="T78" s="14" t="n">
        <v>5.36</v>
      </c>
      <c r="U78" s="14" t="n">
        <v>-0</v>
      </c>
      <c r="V78" s="14" t="n">
        <v>82.16</v>
      </c>
      <c r="W78" s="14" t="n">
        <v>0</v>
      </c>
      <c r="X78" s="14" t="n">
        <v>12.75</v>
      </c>
      <c r="Y78" s="14" t="n">
        <v>12.54</v>
      </c>
      <c r="Z78" s="14" t="n">
        <v>0</v>
      </c>
      <c r="AA78" s="14" t="n">
        <v>0.26</v>
      </c>
      <c r="AB78" s="14" t="n">
        <v>172.6</v>
      </c>
      <c r="AC78" s="11" t="inlineStr">
        <is>
          <t>Yes</t>
        </is>
      </c>
      <c r="AD78" s="29" t="n">
        <v>3.554</v>
      </c>
      <c r="AE78" s="11" t="inlineStr">
        <is>
          <t>206500dc-ba9e-4a58-be62-bb3f830ec1f3</t>
        </is>
      </c>
      <c r="AF78" s="11" t="inlineStr">
        <is>
          <t>01-10-2026</t>
        </is>
      </c>
    </row>
    <row r="79">
      <c r="A79" s="11" t="inlineStr">
        <is>
          <t>20 – 26 Sep</t>
        </is>
      </c>
      <c r="B79" s="11" t="inlineStr">
        <is>
          <t>249410761124158</t>
        </is>
      </c>
      <c r="C79" s="28" t="n">
        <v>46291.92778935185</v>
      </c>
      <c r="D79" s="11" t="inlineStr">
        <is>
          <t>delivered</t>
        </is>
      </c>
      <c r="E79" s="11" t="n"/>
      <c r="F79" s="11" t="inlineStr">
        <is>
          <t>prepaid</t>
        </is>
      </c>
      <c r="G79" s="11" t="inlineStr"/>
      <c r="H79" s="14" t="n">
        <v>300</v>
      </c>
      <c r="I79" s="14" t="n">
        <v>0</v>
      </c>
      <c r="J79" s="14" t="n">
        <v>0</v>
      </c>
      <c r="K79" s="14" t="n">
        <v>0</v>
      </c>
      <c r="L79" s="14" t="n">
        <v>300</v>
      </c>
      <c r="M79" s="14" t="n">
        <v>15</v>
      </c>
      <c r="N79" s="14" t="n">
        <v>300</v>
      </c>
      <c r="O79" s="14" t="n">
        <v>15</v>
      </c>
      <c r="P79" s="14" t="n">
        <v>315</v>
      </c>
      <c r="Q79" s="11" t="inlineStr">
        <is>
          <t>24.0%</t>
        </is>
      </c>
      <c r="R79" s="14" t="n">
        <v>315</v>
      </c>
      <c r="S79" s="14" t="n">
        <v>75.59999999999999</v>
      </c>
      <c r="T79" s="14" t="n">
        <v>6.3</v>
      </c>
      <c r="U79" s="14" t="n">
        <v>0</v>
      </c>
      <c r="V79" s="14" t="n">
        <v>96.64</v>
      </c>
      <c r="W79" s="14" t="n">
        <v>0</v>
      </c>
      <c r="X79" s="14" t="n">
        <v>15</v>
      </c>
      <c r="Y79" s="14" t="n">
        <v>14.74</v>
      </c>
      <c r="Z79" s="14" t="n">
        <v>0</v>
      </c>
      <c r="AA79" s="14" t="n">
        <v>0.3</v>
      </c>
      <c r="AB79" s="14" t="n">
        <v>203.06</v>
      </c>
      <c r="AC79" s="11" t="inlineStr">
        <is>
          <t>No</t>
        </is>
      </c>
      <c r="AD79" s="29" t="n">
        <v>7.15</v>
      </c>
      <c r="AE79" s="11" t="inlineStr">
        <is>
          <t>bf310b6b-365c-4648-a81e-5929eed1c8dd</t>
        </is>
      </c>
      <c r="AF79" s="11" t="inlineStr">
        <is>
          <t>01-10-2026</t>
        </is>
      </c>
    </row>
    <row r="80">
      <c r="A80" s="7" t="inlineStr">
        <is>
          <t>27 – 30 Sep</t>
        </is>
      </c>
      <c r="B80" s="7" t="inlineStr">
        <is>
          <t>249464790154167</t>
        </is>
      </c>
      <c r="C80" s="22" t="n">
        <v>46292.553125</v>
      </c>
      <c r="D80" s="7" t="inlineStr">
        <is>
          <t>delivered</t>
        </is>
      </c>
      <c r="E80" s="7" t="n"/>
      <c r="F80" s="7" t="inlineStr">
        <is>
          <t>cash</t>
        </is>
      </c>
      <c r="G80" s="7" t="inlineStr"/>
      <c r="H80" s="10" t="n">
        <v>340</v>
      </c>
      <c r="I80" s="10" t="n">
        <v>0</v>
      </c>
      <c r="J80" s="10" t="n">
        <v>0</v>
      </c>
      <c r="K80" s="10" t="n">
        <v>0</v>
      </c>
      <c r="L80" s="10" t="n">
        <v>340</v>
      </c>
      <c r="M80" s="10" t="n">
        <v>17</v>
      </c>
      <c r="N80" s="10" t="n">
        <v>340</v>
      </c>
      <c r="O80" s="10" t="n">
        <v>17</v>
      </c>
      <c r="P80" s="10" t="n">
        <v>357</v>
      </c>
      <c r="Q80" s="7" t="inlineStr">
        <is>
          <t>24.0%</t>
        </is>
      </c>
      <c r="R80" s="10" t="n">
        <v>357</v>
      </c>
      <c r="S80" s="10" t="n">
        <v>85.68000000000001</v>
      </c>
      <c r="T80" s="10" t="n">
        <v>7.14</v>
      </c>
      <c r="U80" s="10" t="n">
        <v>-0</v>
      </c>
      <c r="V80" s="10" t="n">
        <v>109.52</v>
      </c>
      <c r="W80" s="10" t="n">
        <v>0</v>
      </c>
      <c r="X80" s="10" t="n">
        <v>17</v>
      </c>
      <c r="Y80" s="10" t="n">
        <v>16.7</v>
      </c>
      <c r="Z80" s="10" t="n">
        <v>0</v>
      </c>
      <c r="AA80" s="10" t="n">
        <v>0.34</v>
      </c>
      <c r="AB80" s="10" t="n">
        <v>230.12</v>
      </c>
      <c r="AC80" s="7" t="inlineStr">
        <is>
          <t>Yes</t>
        </is>
      </c>
      <c r="AD80" s="23" t="n">
        <v>4.916</v>
      </c>
      <c r="AE80" s="7" t="inlineStr">
        <is>
          <t>206500dc-ba9e-4a58-be62-bb3f830ec1f3</t>
        </is>
      </c>
      <c r="AF80" s="7" t="inlineStr">
        <is>
          <t>03-10-2026</t>
        </is>
      </c>
    </row>
    <row r="81">
      <c r="A81" s="7" t="inlineStr">
        <is>
          <t>27 – 30 Sep</t>
        </is>
      </c>
      <c r="B81" s="7" t="inlineStr">
        <is>
          <t>249487817138971</t>
        </is>
      </c>
      <c r="C81" s="22" t="n">
        <v>46292.81964120371</v>
      </c>
      <c r="D81" s="7" t="inlineStr">
        <is>
          <t>delivered</t>
        </is>
      </c>
      <c r="E81" s="7" t="n"/>
      <c r="F81" s="7" t="inlineStr">
        <is>
          <t>cash</t>
        </is>
      </c>
      <c r="G81" s="7" t="inlineStr"/>
      <c r="H81" s="10" t="n">
        <v>290</v>
      </c>
      <c r="I81" s="10" t="n">
        <v>0</v>
      </c>
      <c r="J81" s="10" t="n">
        <v>0</v>
      </c>
      <c r="K81" s="10" t="n">
        <v>0</v>
      </c>
      <c r="L81" s="10" t="n">
        <v>290</v>
      </c>
      <c r="M81" s="10" t="n">
        <v>14.5</v>
      </c>
      <c r="N81" s="10" t="n">
        <v>290</v>
      </c>
      <c r="O81" s="10" t="n">
        <v>14.5</v>
      </c>
      <c r="P81" s="10" t="n">
        <v>304.5</v>
      </c>
      <c r="Q81" s="7" t="inlineStr">
        <is>
          <t>24.0%</t>
        </is>
      </c>
      <c r="R81" s="10" t="n">
        <v>304.5</v>
      </c>
      <c r="S81" s="10" t="n">
        <v>73.08</v>
      </c>
      <c r="T81" s="10" t="n">
        <v>6.09</v>
      </c>
      <c r="U81" s="10" t="n">
        <v>0</v>
      </c>
      <c r="V81" s="10" t="n">
        <v>93.43000000000001</v>
      </c>
      <c r="W81" s="10" t="n">
        <v>0</v>
      </c>
      <c r="X81" s="10" t="n">
        <v>14.5</v>
      </c>
      <c r="Y81" s="10" t="n">
        <v>14.26</v>
      </c>
      <c r="Z81" s="10" t="n">
        <v>0</v>
      </c>
      <c r="AA81" s="10" t="n">
        <v>0.29</v>
      </c>
      <c r="AB81" s="10" t="n">
        <v>196.3</v>
      </c>
      <c r="AC81" s="7" t="inlineStr">
        <is>
          <t>No</t>
        </is>
      </c>
      <c r="AD81" s="23" t="n">
        <v>2.76</v>
      </c>
      <c r="AE81" s="7" t="inlineStr">
        <is>
          <t>bf310b6b-365c-4648-a81e-5929eed1c8dd</t>
        </is>
      </c>
      <c r="AF81" s="7" t="inlineStr">
        <is>
          <t>03-10-2026</t>
        </is>
      </c>
    </row>
    <row r="82">
      <c r="A82" s="7" t="inlineStr">
        <is>
          <t>27 – 30 Sep</t>
        </is>
      </c>
      <c r="B82" s="7" t="inlineStr">
        <is>
          <t>249489781191429</t>
        </is>
      </c>
      <c r="C82" s="22" t="n">
        <v>46292.84237268518</v>
      </c>
      <c r="D82" s="7" t="inlineStr">
        <is>
          <t>delivered</t>
        </is>
      </c>
      <c r="E82" s="7" t="n"/>
      <c r="F82" s="7" t="inlineStr">
        <is>
          <t>prepaid</t>
        </is>
      </c>
      <c r="G82" s="7" t="inlineStr"/>
      <c r="H82" s="10" t="n">
        <v>330</v>
      </c>
      <c r="I82" s="10" t="n">
        <v>0</v>
      </c>
      <c r="J82" s="10" t="n">
        <v>0</v>
      </c>
      <c r="K82" s="10" t="n">
        <v>0</v>
      </c>
      <c r="L82" s="10" t="n">
        <v>330</v>
      </c>
      <c r="M82" s="10" t="n">
        <v>16.5</v>
      </c>
      <c r="N82" s="10" t="n">
        <v>330</v>
      </c>
      <c r="O82" s="10" t="n">
        <v>16.5</v>
      </c>
      <c r="P82" s="10" t="n">
        <v>346.5</v>
      </c>
      <c r="Q82" s="7" t="inlineStr">
        <is>
          <t>24.0%</t>
        </is>
      </c>
      <c r="R82" s="10" t="n">
        <v>346.5</v>
      </c>
      <c r="S82" s="10" t="n">
        <v>83.16</v>
      </c>
      <c r="T82" s="10" t="n">
        <v>6.93</v>
      </c>
      <c r="U82" s="10" t="n">
        <v>0</v>
      </c>
      <c r="V82" s="10" t="n">
        <v>106.31</v>
      </c>
      <c r="W82" s="10" t="n">
        <v>0</v>
      </c>
      <c r="X82" s="10" t="n">
        <v>16.5</v>
      </c>
      <c r="Y82" s="10" t="n">
        <v>16.22</v>
      </c>
      <c r="Z82" s="10" t="n">
        <v>0</v>
      </c>
      <c r="AA82" s="10" t="n">
        <v>0.33</v>
      </c>
      <c r="AB82" s="10" t="n">
        <v>223.36</v>
      </c>
      <c r="AC82" s="7" t="inlineStr">
        <is>
          <t>Yes</t>
        </is>
      </c>
      <c r="AD82" s="23" t="n">
        <v>4.961</v>
      </c>
      <c r="AE82" s="7" t="inlineStr">
        <is>
          <t>206500dc-ba9e-4a58-be62-bb3f830ec1f3</t>
        </is>
      </c>
      <c r="AF82" s="7" t="inlineStr">
        <is>
          <t>03-10-2026</t>
        </is>
      </c>
    </row>
    <row r="83">
      <c r="A83" s="7" t="inlineStr">
        <is>
          <t>27 – 30 Sep</t>
        </is>
      </c>
      <c r="B83" s="7" t="inlineStr">
        <is>
          <t>249491279132686</t>
        </is>
      </c>
      <c r="C83" s="22" t="n">
        <v>46292.85971064815</v>
      </c>
      <c r="D83" s="7" t="inlineStr">
        <is>
          <t>delivered</t>
        </is>
      </c>
      <c r="E83" s="7" t="n"/>
      <c r="F83" s="7" t="inlineStr">
        <is>
          <t>prepaid</t>
        </is>
      </c>
      <c r="G83" s="7" t="inlineStr">
        <is>
          <t>PAYTMNEW</t>
        </is>
      </c>
      <c r="H83" s="10" t="n">
        <v>300</v>
      </c>
      <c r="I83" s="10" t="n">
        <v>0</v>
      </c>
      <c r="J83" s="10" t="n">
        <v>0</v>
      </c>
      <c r="K83" s="10" t="n">
        <v>0</v>
      </c>
      <c r="L83" s="10" t="n">
        <v>300</v>
      </c>
      <c r="M83" s="10" t="n">
        <v>15</v>
      </c>
      <c r="N83" s="10" t="n">
        <v>300</v>
      </c>
      <c r="O83" s="10" t="n">
        <v>15</v>
      </c>
      <c r="P83" s="10" t="n">
        <v>315</v>
      </c>
      <c r="Q83" s="7" t="inlineStr">
        <is>
          <t>24.0%</t>
        </is>
      </c>
      <c r="R83" s="10" t="n">
        <v>315</v>
      </c>
      <c r="S83" s="10" t="n">
        <v>75.59999999999999</v>
      </c>
      <c r="T83" s="10" t="n">
        <v>6.3</v>
      </c>
      <c r="U83" s="10" t="n">
        <v>0</v>
      </c>
      <c r="V83" s="10" t="n">
        <v>96.64</v>
      </c>
      <c r="W83" s="10" t="n">
        <v>0</v>
      </c>
      <c r="X83" s="10" t="n">
        <v>15</v>
      </c>
      <c r="Y83" s="10" t="n">
        <v>14.74</v>
      </c>
      <c r="Z83" s="10" t="n">
        <v>0</v>
      </c>
      <c r="AA83" s="10" t="n">
        <v>0.3</v>
      </c>
      <c r="AB83" s="10" t="n">
        <v>203.06</v>
      </c>
      <c r="AC83" s="7" t="inlineStr">
        <is>
          <t>Yes</t>
        </is>
      </c>
      <c r="AD83" s="23" t="n">
        <v>2.408</v>
      </c>
      <c r="AE83" s="7" t="inlineStr">
        <is>
          <t>206500dc-ba9e-4a58-be62-bb3f830ec1f3</t>
        </is>
      </c>
      <c r="AF83" s="7" t="inlineStr">
        <is>
          <t>03-10-2026</t>
        </is>
      </c>
    </row>
    <row r="84">
      <c r="A84" s="7" t="inlineStr">
        <is>
          <t>27 – 30 Sep</t>
        </is>
      </c>
      <c r="B84" s="7" t="inlineStr">
        <is>
          <t>249493538132133</t>
        </is>
      </c>
      <c r="C84" s="22" t="n">
        <v>46292.88585648148</v>
      </c>
      <c r="D84" s="7" t="inlineStr">
        <is>
          <t>delivered</t>
        </is>
      </c>
      <c r="E84" s="7" t="n"/>
      <c r="F84" s="7" t="inlineStr">
        <is>
          <t>prepaid</t>
        </is>
      </c>
      <c r="G84" s="7" t="inlineStr"/>
      <c r="H84" s="10" t="n">
        <v>330</v>
      </c>
      <c r="I84" s="10" t="n">
        <v>0</v>
      </c>
      <c r="J84" s="10" t="n">
        <v>0</v>
      </c>
      <c r="K84" s="10" t="n">
        <v>0</v>
      </c>
      <c r="L84" s="10" t="n">
        <v>330</v>
      </c>
      <c r="M84" s="10" t="n">
        <v>16.5</v>
      </c>
      <c r="N84" s="10" t="n">
        <v>330</v>
      </c>
      <c r="O84" s="10" t="n">
        <v>16.5</v>
      </c>
      <c r="P84" s="10" t="n">
        <v>346.5</v>
      </c>
      <c r="Q84" s="7" t="inlineStr">
        <is>
          <t>24.0%</t>
        </is>
      </c>
      <c r="R84" s="10" t="n">
        <v>346.5</v>
      </c>
      <c r="S84" s="10" t="n">
        <v>83.16</v>
      </c>
      <c r="T84" s="10" t="n">
        <v>6.93</v>
      </c>
      <c r="U84" s="10" t="n">
        <v>0</v>
      </c>
      <c r="V84" s="10" t="n">
        <v>106.31</v>
      </c>
      <c r="W84" s="10" t="n">
        <v>0</v>
      </c>
      <c r="X84" s="10" t="n">
        <v>16.5</v>
      </c>
      <c r="Y84" s="10" t="n">
        <v>16.22</v>
      </c>
      <c r="Z84" s="10" t="n">
        <v>0</v>
      </c>
      <c r="AA84" s="10" t="n">
        <v>0.33</v>
      </c>
      <c r="AB84" s="10" t="n">
        <v>223.36</v>
      </c>
      <c r="AC84" s="7" t="inlineStr">
        <is>
          <t>No</t>
        </is>
      </c>
      <c r="AD84" s="23" t="n">
        <v>2.428</v>
      </c>
      <c r="AE84" s="7" t="inlineStr"/>
      <c r="AF84" s="7" t="inlineStr">
        <is>
          <t>03-10-2026</t>
        </is>
      </c>
    </row>
    <row r="85">
      <c r="A85" s="7" t="inlineStr">
        <is>
          <t>27 – 30 Sep</t>
        </is>
      </c>
      <c r="B85" s="7" t="inlineStr">
        <is>
          <t>249553401101522</t>
        </is>
      </c>
      <c r="C85" s="22" t="n">
        <v>46293.57871527778</v>
      </c>
      <c r="D85" s="7" t="inlineStr">
        <is>
          <t>delivered</t>
        </is>
      </c>
      <c r="E85" s="7" t="n"/>
      <c r="F85" s="7" t="inlineStr">
        <is>
          <t>cash</t>
        </is>
      </c>
      <c r="G85" s="7" t="inlineStr"/>
      <c r="H85" s="10" t="n">
        <v>300</v>
      </c>
      <c r="I85" s="10" t="n">
        <v>0</v>
      </c>
      <c r="J85" s="10" t="n">
        <v>0</v>
      </c>
      <c r="K85" s="10" t="n">
        <v>0</v>
      </c>
      <c r="L85" s="10" t="n">
        <v>300</v>
      </c>
      <c r="M85" s="10" t="n">
        <v>15</v>
      </c>
      <c r="N85" s="10" t="n">
        <v>300</v>
      </c>
      <c r="O85" s="10" t="n">
        <v>15</v>
      </c>
      <c r="P85" s="10" t="n">
        <v>315</v>
      </c>
      <c r="Q85" s="7" t="inlineStr">
        <is>
          <t>24.0%</t>
        </is>
      </c>
      <c r="R85" s="10" t="n">
        <v>315</v>
      </c>
      <c r="S85" s="10" t="n">
        <v>75.59999999999999</v>
      </c>
      <c r="T85" s="10" t="n">
        <v>6.3</v>
      </c>
      <c r="U85" s="10" t="n">
        <v>0</v>
      </c>
      <c r="V85" s="10" t="n">
        <v>96.64</v>
      </c>
      <c r="W85" s="10" t="n">
        <v>0</v>
      </c>
      <c r="X85" s="10" t="n">
        <v>15</v>
      </c>
      <c r="Y85" s="10" t="n">
        <v>14.74</v>
      </c>
      <c r="Z85" s="10" t="n">
        <v>0</v>
      </c>
      <c r="AA85" s="10" t="n">
        <v>0.3</v>
      </c>
      <c r="AB85" s="10" t="n">
        <v>203.06</v>
      </c>
      <c r="AC85" s="7" t="inlineStr">
        <is>
          <t>Yes</t>
        </is>
      </c>
      <c r="AD85" s="23" t="n">
        <v>1.435</v>
      </c>
      <c r="AE85" s="7" t="inlineStr">
        <is>
          <t>206500dc-ba9e-4a58-be62-bb3f830ec1f3</t>
        </is>
      </c>
      <c r="AF85" s="7" t="inlineStr">
        <is>
          <t>03-10-2026</t>
        </is>
      </c>
    </row>
    <row r="86">
      <c r="A86" s="7" t="inlineStr">
        <is>
          <t>27 – 30 Sep</t>
        </is>
      </c>
      <c r="B86" s="7" t="inlineStr">
        <is>
          <t>249566142136874</t>
        </is>
      </c>
      <c r="C86" s="22" t="n">
        <v>46293.72618055555</v>
      </c>
      <c r="D86" s="7" t="inlineStr">
        <is>
          <t>delivered</t>
        </is>
      </c>
      <c r="E86" s="7" t="n"/>
      <c r="F86" s="7" t="inlineStr">
        <is>
          <t>prepaid</t>
        </is>
      </c>
      <c r="G86" s="7" t="inlineStr"/>
      <c r="H86" s="10" t="n">
        <v>620</v>
      </c>
      <c r="I86" s="10" t="n">
        <v>0</v>
      </c>
      <c r="J86" s="10" t="n">
        <v>0</v>
      </c>
      <c r="K86" s="10" t="n">
        <v>0</v>
      </c>
      <c r="L86" s="10" t="n">
        <v>620</v>
      </c>
      <c r="M86" s="10" t="n">
        <v>31</v>
      </c>
      <c r="N86" s="10" t="n">
        <v>620</v>
      </c>
      <c r="O86" s="10" t="n">
        <v>31</v>
      </c>
      <c r="P86" s="10" t="n">
        <v>651</v>
      </c>
      <c r="Q86" s="7" t="inlineStr">
        <is>
          <t>24.0%</t>
        </is>
      </c>
      <c r="R86" s="10" t="n">
        <v>651</v>
      </c>
      <c r="S86" s="10" t="n">
        <v>156.24</v>
      </c>
      <c r="T86" s="10" t="n">
        <v>13.02</v>
      </c>
      <c r="U86" s="10" t="n">
        <v>-0</v>
      </c>
      <c r="V86" s="10" t="n">
        <v>199.72</v>
      </c>
      <c r="W86" s="10" t="n">
        <v>0</v>
      </c>
      <c r="X86" s="10" t="n">
        <v>31</v>
      </c>
      <c r="Y86" s="10" t="n">
        <v>30.46</v>
      </c>
      <c r="Z86" s="10" t="n">
        <v>0</v>
      </c>
      <c r="AA86" s="10" t="n">
        <v>0.62</v>
      </c>
      <c r="AB86" s="10" t="n">
        <v>419.64</v>
      </c>
      <c r="AC86" s="7" t="inlineStr">
        <is>
          <t>Yes</t>
        </is>
      </c>
      <c r="AD86" s="23" t="n">
        <v>0.674</v>
      </c>
      <c r="AE86" s="7" t="inlineStr">
        <is>
          <t>206500dc-ba9e-4a58-be62-bb3f830ec1f3</t>
        </is>
      </c>
      <c r="AF86" s="7" t="inlineStr">
        <is>
          <t>03-10-2026</t>
        </is>
      </c>
    </row>
    <row r="87">
      <c r="A87" s="7" t="inlineStr">
        <is>
          <t>27 – 30 Sep</t>
        </is>
      </c>
      <c r="B87" s="7" t="inlineStr">
        <is>
          <t>249583865121752</t>
        </is>
      </c>
      <c r="C87" s="22" t="n">
        <v>46293.93130787037</v>
      </c>
      <c r="D87" s="7" t="inlineStr">
        <is>
          <t>delivered</t>
        </is>
      </c>
      <c r="E87" s="7" t="n"/>
      <c r="F87" s="7" t="inlineStr">
        <is>
          <t>prepaid</t>
        </is>
      </c>
      <c r="G87" s="7" t="inlineStr"/>
      <c r="H87" s="10" t="n">
        <v>920</v>
      </c>
      <c r="I87" s="10" t="n">
        <v>0</v>
      </c>
      <c r="J87" s="10" t="n">
        <v>0</v>
      </c>
      <c r="K87" s="10" t="n">
        <v>0</v>
      </c>
      <c r="L87" s="10" t="n">
        <v>920</v>
      </c>
      <c r="M87" s="10" t="n">
        <v>46</v>
      </c>
      <c r="N87" s="10" t="n">
        <v>920</v>
      </c>
      <c r="O87" s="10" t="n">
        <v>46</v>
      </c>
      <c r="P87" s="10" t="n">
        <v>966</v>
      </c>
      <c r="Q87" s="7" t="inlineStr">
        <is>
          <t>24.0%</t>
        </is>
      </c>
      <c r="R87" s="10" t="n">
        <v>966</v>
      </c>
      <c r="S87" s="10" t="n">
        <v>231.84</v>
      </c>
      <c r="T87" s="10" t="n">
        <v>19.32</v>
      </c>
      <c r="U87" s="10" t="n">
        <v>0</v>
      </c>
      <c r="V87" s="10" t="n">
        <v>296.36</v>
      </c>
      <c r="W87" s="10" t="n">
        <v>0</v>
      </c>
      <c r="X87" s="10" t="n">
        <v>46</v>
      </c>
      <c r="Y87" s="10" t="n">
        <v>45.2</v>
      </c>
      <c r="Z87" s="10" t="n">
        <v>0</v>
      </c>
      <c r="AA87" s="10" t="n">
        <v>0.92</v>
      </c>
      <c r="AB87" s="10" t="n">
        <v>622.7</v>
      </c>
      <c r="AC87" s="7" t="inlineStr">
        <is>
          <t>Yes</t>
        </is>
      </c>
      <c r="AD87" s="23" t="n">
        <v>4.936</v>
      </c>
      <c r="AE87" s="7" t="inlineStr">
        <is>
          <t>2f02db3c-3444-482e-aa26-47a7bdcf8049</t>
        </is>
      </c>
      <c r="AF87" s="7" t="inlineStr">
        <is>
          <t>03-10-2026</t>
        </is>
      </c>
    </row>
    <row r="88">
      <c r="A88" s="7" t="inlineStr">
        <is>
          <t>27 – 30 Sep</t>
        </is>
      </c>
      <c r="B88" s="7" t="inlineStr">
        <is>
          <t>249665438170534</t>
        </is>
      </c>
      <c r="C88" s="22" t="n">
        <v>46294.87543981482</v>
      </c>
      <c r="D88" s="7" t="inlineStr">
        <is>
          <t>delivered</t>
        </is>
      </c>
      <c r="E88" s="7" t="n"/>
      <c r="F88" s="7" t="inlineStr">
        <is>
          <t>cash</t>
        </is>
      </c>
      <c r="G88" s="7" t="inlineStr">
        <is>
          <t>ON-TIME-PROMISE</t>
        </is>
      </c>
      <c r="H88" s="10" t="n">
        <v>300</v>
      </c>
      <c r="I88" s="10" t="n">
        <v>0</v>
      </c>
      <c r="J88" s="10" t="n">
        <v>0</v>
      </c>
      <c r="K88" s="10" t="n">
        <v>0</v>
      </c>
      <c r="L88" s="10" t="n">
        <v>300</v>
      </c>
      <c r="M88" s="10" t="n">
        <v>15</v>
      </c>
      <c r="N88" s="10" t="n">
        <v>300</v>
      </c>
      <c r="O88" s="10" t="n">
        <v>15</v>
      </c>
      <c r="P88" s="10" t="n">
        <v>315</v>
      </c>
      <c r="Q88" s="7" t="inlineStr">
        <is>
          <t>24.0%</t>
        </is>
      </c>
      <c r="R88" s="10" t="n">
        <v>315</v>
      </c>
      <c r="S88" s="10" t="n">
        <v>75.59999999999999</v>
      </c>
      <c r="T88" s="10" t="n">
        <v>6.3</v>
      </c>
      <c r="U88" s="10" t="n">
        <v>0</v>
      </c>
      <c r="V88" s="10" t="n">
        <v>96.64</v>
      </c>
      <c r="W88" s="10" t="n">
        <v>0</v>
      </c>
      <c r="X88" s="10" t="n">
        <v>15</v>
      </c>
      <c r="Y88" s="10" t="n">
        <v>14.74</v>
      </c>
      <c r="Z88" s="10" t="n">
        <v>0</v>
      </c>
      <c r="AA88" s="10" t="n">
        <v>0.3</v>
      </c>
      <c r="AB88" s="10" t="n">
        <v>203.06</v>
      </c>
      <c r="AC88" s="7" t="inlineStr">
        <is>
          <t>Yes</t>
        </is>
      </c>
      <c r="AD88" s="23" t="n">
        <v>2.689</v>
      </c>
      <c r="AE88" s="7" t="inlineStr">
        <is>
          <t>206500dc-ba9e-4a58-be62-bb3f830ec1f3</t>
        </is>
      </c>
      <c r="AF88" s="7" t="inlineStr">
        <is>
          <t>03-10-2026</t>
        </is>
      </c>
    </row>
    <row r="89">
      <c r="A89" s="7" t="inlineStr">
        <is>
          <t>27 – 30 Sep</t>
        </is>
      </c>
      <c r="B89" s="7" t="inlineStr">
        <is>
          <t>249667322145978</t>
        </is>
      </c>
      <c r="C89" s="22" t="n">
        <v>46294.89724537037</v>
      </c>
      <c r="D89" s="7" t="inlineStr">
        <is>
          <t>delivered</t>
        </is>
      </c>
      <c r="E89" s="7" t="n"/>
      <c r="F89" s="7" t="inlineStr">
        <is>
          <t>cash</t>
        </is>
      </c>
      <c r="G89" s="7" t="inlineStr"/>
      <c r="H89" s="10" t="n">
        <v>660</v>
      </c>
      <c r="I89" s="10" t="n">
        <v>0</v>
      </c>
      <c r="J89" s="10" t="n">
        <v>0</v>
      </c>
      <c r="K89" s="10" t="n">
        <v>0</v>
      </c>
      <c r="L89" s="10" t="n">
        <v>660</v>
      </c>
      <c r="M89" s="10" t="n">
        <v>33</v>
      </c>
      <c r="N89" s="10" t="n">
        <v>660</v>
      </c>
      <c r="O89" s="10" t="n">
        <v>33</v>
      </c>
      <c r="P89" s="10" t="n">
        <v>693</v>
      </c>
      <c r="Q89" s="7" t="inlineStr">
        <is>
          <t>24.0%</t>
        </is>
      </c>
      <c r="R89" s="10" t="n">
        <v>693</v>
      </c>
      <c r="S89" s="10" t="n">
        <v>166.32</v>
      </c>
      <c r="T89" s="10" t="n">
        <v>13.86</v>
      </c>
      <c r="U89" s="10" t="n">
        <v>0</v>
      </c>
      <c r="V89" s="10" t="n">
        <v>212.62</v>
      </c>
      <c r="W89" s="10" t="n">
        <v>0</v>
      </c>
      <c r="X89" s="10" t="n">
        <v>33</v>
      </c>
      <c r="Y89" s="10" t="n">
        <v>32.44</v>
      </c>
      <c r="Z89" s="10" t="n">
        <v>0</v>
      </c>
      <c r="AA89" s="10" t="n">
        <v>0.66</v>
      </c>
      <c r="AB89" s="10" t="n">
        <v>446.74</v>
      </c>
      <c r="AC89" s="7" t="inlineStr">
        <is>
          <t>Yes</t>
        </is>
      </c>
      <c r="AD89" s="23" t="n">
        <v>5.067</v>
      </c>
      <c r="AE89" s="7" t="inlineStr"/>
      <c r="AF89" s="7" t="inlineStr">
        <is>
          <t>03-10-2026</t>
        </is>
      </c>
    </row>
    <row r="90">
      <c r="A90" s="7" t="inlineStr">
        <is>
          <t>27 – 30 Sep</t>
        </is>
      </c>
      <c r="B90" s="7" t="inlineStr">
        <is>
          <t>249729665192217</t>
        </is>
      </c>
      <c r="C90" s="22" t="n">
        <v>46295.61880787037</v>
      </c>
      <c r="D90" s="7" t="inlineStr">
        <is>
          <t>delivered</t>
        </is>
      </c>
      <c r="E90" s="7" t="n"/>
      <c r="F90" s="7" t="inlineStr">
        <is>
          <t>cash</t>
        </is>
      </c>
      <c r="G90" s="7" t="inlineStr"/>
      <c r="H90" s="10" t="n">
        <v>290</v>
      </c>
      <c r="I90" s="10" t="n">
        <v>0</v>
      </c>
      <c r="J90" s="10" t="n">
        <v>0</v>
      </c>
      <c r="K90" s="10" t="n">
        <v>0</v>
      </c>
      <c r="L90" s="10" t="n">
        <v>290</v>
      </c>
      <c r="M90" s="10" t="n">
        <v>14.5</v>
      </c>
      <c r="N90" s="10" t="n">
        <v>290</v>
      </c>
      <c r="O90" s="10" t="n">
        <v>14.5</v>
      </c>
      <c r="P90" s="10" t="n">
        <v>304.5</v>
      </c>
      <c r="Q90" s="7" t="inlineStr">
        <is>
          <t>24.0%</t>
        </is>
      </c>
      <c r="R90" s="10" t="n">
        <v>304.5</v>
      </c>
      <c r="S90" s="10" t="n">
        <v>73.08</v>
      </c>
      <c r="T90" s="10" t="n">
        <v>6.09</v>
      </c>
      <c r="U90" s="10" t="n">
        <v>0</v>
      </c>
      <c r="V90" s="10" t="n">
        <v>93.43000000000001</v>
      </c>
      <c r="W90" s="10" t="n">
        <v>0</v>
      </c>
      <c r="X90" s="10" t="n">
        <v>14.5</v>
      </c>
      <c r="Y90" s="10" t="n">
        <v>14.26</v>
      </c>
      <c r="Z90" s="10" t="n">
        <v>0</v>
      </c>
      <c r="AA90" s="10" t="n">
        <v>0.29</v>
      </c>
      <c r="AB90" s="10" t="n">
        <v>196.3</v>
      </c>
      <c r="AC90" s="7" t="inlineStr">
        <is>
          <t>Yes</t>
        </is>
      </c>
      <c r="AD90" s="23" t="n">
        <v>1.409</v>
      </c>
      <c r="AE90" s="7" t="inlineStr">
        <is>
          <t>206500dc-ba9e-4a58-be62-bb3f830ec1f3</t>
        </is>
      </c>
      <c r="AF90" s="7" t="inlineStr">
        <is>
          <t>03-10-2026</t>
        </is>
      </c>
    </row>
    <row r="91">
      <c r="A91" s="7" t="inlineStr">
        <is>
          <t>27 – 30 Sep</t>
        </is>
      </c>
      <c r="B91" s="7" t="inlineStr">
        <is>
          <t>249733078119585</t>
        </is>
      </c>
      <c r="C91" s="22" t="n">
        <v>46295.65831018519</v>
      </c>
      <c r="D91" s="7" t="inlineStr">
        <is>
          <t>delivered</t>
        </is>
      </c>
      <c r="E91" s="7" t="n"/>
      <c r="F91" s="7" t="inlineStr">
        <is>
          <t>prepaid</t>
        </is>
      </c>
      <c r="G91" s="7" t="inlineStr"/>
      <c r="H91" s="10" t="n">
        <v>300</v>
      </c>
      <c r="I91" s="10" t="n">
        <v>0</v>
      </c>
      <c r="J91" s="10" t="n">
        <v>0</v>
      </c>
      <c r="K91" s="10" t="n">
        <v>0</v>
      </c>
      <c r="L91" s="10" t="n">
        <v>300</v>
      </c>
      <c r="M91" s="10" t="n">
        <v>15</v>
      </c>
      <c r="N91" s="10" t="n">
        <v>300</v>
      </c>
      <c r="O91" s="10" t="n">
        <v>15</v>
      </c>
      <c r="P91" s="10" t="n">
        <v>315</v>
      </c>
      <c r="Q91" s="7" t="inlineStr">
        <is>
          <t>24.0%</t>
        </is>
      </c>
      <c r="R91" s="10" t="n">
        <v>315</v>
      </c>
      <c r="S91" s="10" t="n">
        <v>75.59999999999999</v>
      </c>
      <c r="T91" s="10" t="n">
        <v>6.3</v>
      </c>
      <c r="U91" s="10" t="n">
        <v>0</v>
      </c>
      <c r="V91" s="10" t="n">
        <v>96.64</v>
      </c>
      <c r="W91" s="10" t="n">
        <v>0</v>
      </c>
      <c r="X91" s="10" t="n">
        <v>15</v>
      </c>
      <c r="Y91" s="10" t="n">
        <v>14.74</v>
      </c>
      <c r="Z91" s="10" t="n">
        <v>0</v>
      </c>
      <c r="AA91" s="10" t="n">
        <v>0.3</v>
      </c>
      <c r="AB91" s="10" t="n">
        <v>203.06</v>
      </c>
      <c r="AC91" s="7" t="inlineStr">
        <is>
          <t>Yes</t>
        </is>
      </c>
      <c r="AD91" s="23" t="n">
        <v>2.23</v>
      </c>
      <c r="AE91" s="7" t="inlineStr">
        <is>
          <t>206500dc-ba9e-4a58-be62-bb3f830ec1f3</t>
        </is>
      </c>
      <c r="AF91" s="7" t="inlineStr">
        <is>
          <t>03-10-2026</t>
        </is>
      </c>
    </row>
    <row r="92">
      <c r="A92" s="7" t="inlineStr">
        <is>
          <t>27 – 30 Sep</t>
        </is>
      </c>
      <c r="B92" s="7" t="inlineStr">
        <is>
          <t>249733887141161</t>
        </is>
      </c>
      <c r="C92" s="22" t="n">
        <v>46295.66767361111</v>
      </c>
      <c r="D92" s="7" t="inlineStr">
        <is>
          <t>delivered</t>
        </is>
      </c>
      <c r="E92" s="7" t="n"/>
      <c r="F92" s="7" t="inlineStr">
        <is>
          <t>cash</t>
        </is>
      </c>
      <c r="G92" s="7" t="inlineStr"/>
      <c r="H92" s="10" t="n">
        <v>300</v>
      </c>
      <c r="I92" s="10" t="n">
        <v>0</v>
      </c>
      <c r="J92" s="10" t="n">
        <v>0</v>
      </c>
      <c r="K92" s="10" t="n">
        <v>0</v>
      </c>
      <c r="L92" s="10" t="n">
        <v>300</v>
      </c>
      <c r="M92" s="10" t="n">
        <v>15</v>
      </c>
      <c r="N92" s="10" t="n">
        <v>300</v>
      </c>
      <c r="O92" s="10" t="n">
        <v>15</v>
      </c>
      <c r="P92" s="10" t="n">
        <v>315</v>
      </c>
      <c r="Q92" s="7" t="inlineStr">
        <is>
          <t>24.0%</t>
        </is>
      </c>
      <c r="R92" s="10" t="n">
        <v>315</v>
      </c>
      <c r="S92" s="10" t="n">
        <v>75.59999999999999</v>
      </c>
      <c r="T92" s="10" t="n">
        <v>6.3</v>
      </c>
      <c r="U92" s="10" t="n">
        <v>0</v>
      </c>
      <c r="V92" s="10" t="n">
        <v>96.64</v>
      </c>
      <c r="W92" s="10" t="n">
        <v>0</v>
      </c>
      <c r="X92" s="10" t="n">
        <v>15</v>
      </c>
      <c r="Y92" s="10" t="n">
        <v>14.74</v>
      </c>
      <c r="Z92" s="10" t="n">
        <v>0</v>
      </c>
      <c r="AA92" s="10" t="n">
        <v>0.3</v>
      </c>
      <c r="AB92" s="10" t="n">
        <v>203.06</v>
      </c>
      <c r="AC92" s="7" t="inlineStr">
        <is>
          <t>Yes</t>
        </is>
      </c>
      <c r="AD92" s="23" t="n">
        <v>3.681</v>
      </c>
      <c r="AE92" s="7" t="inlineStr">
        <is>
          <t>edbc9b38-4d6a-4463-b2a6-fc6581c93d81,206500dc-ba9e-4a58-be62-bb3f830ec1f3</t>
        </is>
      </c>
      <c r="AF92" s="7" t="inlineStr">
        <is>
          <t>03-10-2026</t>
        </is>
      </c>
    </row>
    <row r="93">
      <c r="A93" s="7" t="inlineStr">
        <is>
          <t>27 – 30 Sep</t>
        </is>
      </c>
      <c r="B93" s="7" t="inlineStr">
        <is>
          <t>249744551185853</t>
        </is>
      </c>
      <c r="C93" s="22" t="n">
        <v>46295.79109953704</v>
      </c>
      <c r="D93" s="7" t="inlineStr">
        <is>
          <t>delivered</t>
        </is>
      </c>
      <c r="E93" s="7" t="n"/>
      <c r="F93" s="7" t="inlineStr">
        <is>
          <t>prepaid</t>
        </is>
      </c>
      <c r="G93" s="7" t="inlineStr"/>
      <c r="H93" s="10" t="n">
        <v>300</v>
      </c>
      <c r="I93" s="10" t="n">
        <v>0</v>
      </c>
      <c r="J93" s="10" t="n">
        <v>0</v>
      </c>
      <c r="K93" s="10" t="n">
        <v>0</v>
      </c>
      <c r="L93" s="10" t="n">
        <v>300</v>
      </c>
      <c r="M93" s="10" t="n">
        <v>15</v>
      </c>
      <c r="N93" s="10" t="n">
        <v>300</v>
      </c>
      <c r="O93" s="10" t="n">
        <v>15</v>
      </c>
      <c r="P93" s="10" t="n">
        <v>315</v>
      </c>
      <c r="Q93" s="7" t="inlineStr">
        <is>
          <t>24.0%</t>
        </is>
      </c>
      <c r="R93" s="10" t="n">
        <v>315</v>
      </c>
      <c r="S93" s="10" t="n">
        <v>75.59999999999999</v>
      </c>
      <c r="T93" s="10" t="n">
        <v>6.3</v>
      </c>
      <c r="U93" s="10" t="n">
        <v>0</v>
      </c>
      <c r="V93" s="10" t="n">
        <v>96.64</v>
      </c>
      <c r="W93" s="10" t="n">
        <v>0</v>
      </c>
      <c r="X93" s="10" t="n">
        <v>15</v>
      </c>
      <c r="Y93" s="10" t="n">
        <v>14.74</v>
      </c>
      <c r="Z93" s="10" t="n">
        <v>0</v>
      </c>
      <c r="AA93" s="10" t="n">
        <v>0.3</v>
      </c>
      <c r="AB93" s="10" t="n">
        <v>203.06</v>
      </c>
      <c r="AC93" s="7" t="inlineStr">
        <is>
          <t>Yes</t>
        </is>
      </c>
      <c r="AD93" s="23" t="n">
        <v>2.474</v>
      </c>
      <c r="AE93" s="7" t="inlineStr">
        <is>
          <t>206500dc-ba9e-4a58-be62-bb3f830ec1f3</t>
        </is>
      </c>
      <c r="AF93" s="7" t="inlineStr">
        <is>
          <t>03-10-2026</t>
        </is>
      </c>
    </row>
    <row r="94">
      <c r="A94" s="7" t="inlineStr">
        <is>
          <t>27 – 30 Sep</t>
        </is>
      </c>
      <c r="B94" s="7" t="inlineStr">
        <is>
          <t>249752189162624</t>
        </is>
      </c>
      <c r="C94" s="22" t="n">
        <v>46295.87950231481</v>
      </c>
      <c r="D94" s="7" t="inlineStr">
        <is>
          <t>delivered</t>
        </is>
      </c>
      <c r="E94" s="7" t="n"/>
      <c r="F94" s="7" t="inlineStr">
        <is>
          <t>prepaid</t>
        </is>
      </c>
      <c r="G94" s="7" t="inlineStr"/>
      <c r="H94" s="10" t="n">
        <v>920</v>
      </c>
      <c r="I94" s="10" t="n">
        <v>0</v>
      </c>
      <c r="J94" s="10" t="n">
        <v>0</v>
      </c>
      <c r="K94" s="10" t="n">
        <v>0</v>
      </c>
      <c r="L94" s="10" t="n">
        <v>920</v>
      </c>
      <c r="M94" s="10" t="n">
        <v>46</v>
      </c>
      <c r="N94" s="10" t="n">
        <v>920</v>
      </c>
      <c r="O94" s="10" t="n">
        <v>46</v>
      </c>
      <c r="P94" s="10" t="n">
        <v>966</v>
      </c>
      <c r="Q94" s="7" t="inlineStr">
        <is>
          <t>24.0%</t>
        </is>
      </c>
      <c r="R94" s="10" t="n">
        <v>966</v>
      </c>
      <c r="S94" s="10" t="n">
        <v>231.84</v>
      </c>
      <c r="T94" s="10" t="n">
        <v>19.32</v>
      </c>
      <c r="U94" s="10" t="n">
        <v>0</v>
      </c>
      <c r="V94" s="10" t="n">
        <v>296.36</v>
      </c>
      <c r="W94" s="10" t="n">
        <v>0</v>
      </c>
      <c r="X94" s="10" t="n">
        <v>46</v>
      </c>
      <c r="Y94" s="10" t="n">
        <v>45.2</v>
      </c>
      <c r="Z94" s="10" t="n">
        <v>0</v>
      </c>
      <c r="AA94" s="10" t="n">
        <v>0.92</v>
      </c>
      <c r="AB94" s="10" t="n">
        <v>622.7</v>
      </c>
      <c r="AC94" s="7" t="inlineStr">
        <is>
          <t>Yes</t>
        </is>
      </c>
      <c r="AD94" s="23" t="n">
        <v>0.208</v>
      </c>
      <c r="AE94" s="7" t="inlineStr">
        <is>
          <t>206500dc-ba9e-4a58-be62-bb3f830ec1f3</t>
        </is>
      </c>
      <c r="AF94" s="7" t="inlineStr">
        <is>
          <t>03-10-2026</t>
        </is>
      </c>
    </row>
    <row r="95">
      <c r="A95" s="7" t="inlineStr">
        <is>
          <t>27 – 30 Sep</t>
        </is>
      </c>
      <c r="B95" s="7" t="inlineStr">
        <is>
          <t>249755730173167</t>
        </is>
      </c>
      <c r="C95" s="22" t="n">
        <v>46295.92048611111</v>
      </c>
      <c r="D95" s="7" t="inlineStr">
        <is>
          <t>delivered</t>
        </is>
      </c>
      <c r="E95" s="7" t="n"/>
      <c r="F95" s="7" t="inlineStr">
        <is>
          <t>cash</t>
        </is>
      </c>
      <c r="G95" s="7" t="inlineStr"/>
      <c r="H95" s="10" t="n">
        <v>330</v>
      </c>
      <c r="I95" s="10" t="n">
        <v>0</v>
      </c>
      <c r="J95" s="10" t="n">
        <v>0</v>
      </c>
      <c r="K95" s="10" t="n">
        <v>0</v>
      </c>
      <c r="L95" s="10" t="n">
        <v>330</v>
      </c>
      <c r="M95" s="10" t="n">
        <v>16.5</v>
      </c>
      <c r="N95" s="10" t="n">
        <v>330</v>
      </c>
      <c r="O95" s="10" t="n">
        <v>16.5</v>
      </c>
      <c r="P95" s="10" t="n">
        <v>346.5</v>
      </c>
      <c r="Q95" s="7" t="inlineStr">
        <is>
          <t>24.0%</t>
        </is>
      </c>
      <c r="R95" s="10" t="n">
        <v>346.5</v>
      </c>
      <c r="S95" s="10" t="n">
        <v>83.16</v>
      </c>
      <c r="T95" s="10" t="n">
        <v>6.93</v>
      </c>
      <c r="U95" s="10" t="n">
        <v>0</v>
      </c>
      <c r="V95" s="10" t="n">
        <v>106.31</v>
      </c>
      <c r="W95" s="10" t="n">
        <v>0</v>
      </c>
      <c r="X95" s="10" t="n">
        <v>16.5</v>
      </c>
      <c r="Y95" s="10" t="n">
        <v>16.22</v>
      </c>
      <c r="Z95" s="10" t="n">
        <v>0</v>
      </c>
      <c r="AA95" s="10" t="n">
        <v>0.33</v>
      </c>
      <c r="AB95" s="10" t="n">
        <v>223.36</v>
      </c>
      <c r="AC95" s="7" t="inlineStr">
        <is>
          <t>Yes</t>
        </is>
      </c>
      <c r="AD95" s="23" t="n">
        <v>3.089</v>
      </c>
      <c r="AE95" s="7" t="inlineStr">
        <is>
          <t>206500dc-ba9e-4a58-be62-bb3f830ec1f3</t>
        </is>
      </c>
      <c r="AF95" s="7" t="inlineStr">
        <is>
          <t>03-10-2026</t>
        </is>
      </c>
    </row>
    <row r="96">
      <c r="A96" s="7" t="inlineStr">
        <is>
          <t>27 – 30 Sep</t>
        </is>
      </c>
      <c r="B96" s="7" t="inlineStr">
        <is>
          <t>249755918119523</t>
        </is>
      </c>
      <c r="C96" s="22" t="n">
        <v>46295.92266203704</v>
      </c>
      <c r="D96" s="7" t="inlineStr">
        <is>
          <t>delivered</t>
        </is>
      </c>
      <c r="E96" s="7" t="n"/>
      <c r="F96" s="7" t="inlineStr">
        <is>
          <t>prepaid</t>
        </is>
      </c>
      <c r="G96" s="7" t="inlineStr"/>
      <c r="H96" s="10" t="n">
        <v>290</v>
      </c>
      <c r="I96" s="10" t="n">
        <v>0</v>
      </c>
      <c r="J96" s="10" t="n">
        <v>0</v>
      </c>
      <c r="K96" s="10" t="n">
        <v>0</v>
      </c>
      <c r="L96" s="10" t="n">
        <v>290</v>
      </c>
      <c r="M96" s="10" t="n">
        <v>14.5</v>
      </c>
      <c r="N96" s="10" t="n">
        <v>290</v>
      </c>
      <c r="O96" s="10" t="n">
        <v>14.5</v>
      </c>
      <c r="P96" s="10" t="n">
        <v>304.5</v>
      </c>
      <c r="Q96" s="7" t="inlineStr">
        <is>
          <t>24.0%</t>
        </is>
      </c>
      <c r="R96" s="10" t="n">
        <v>304.5</v>
      </c>
      <c r="S96" s="10" t="n">
        <v>73.08</v>
      </c>
      <c r="T96" s="10" t="n">
        <v>6.09</v>
      </c>
      <c r="U96" s="10" t="n">
        <v>0</v>
      </c>
      <c r="V96" s="10" t="n">
        <v>93.43000000000001</v>
      </c>
      <c r="W96" s="10" t="n">
        <v>0</v>
      </c>
      <c r="X96" s="10" t="n">
        <v>14.5</v>
      </c>
      <c r="Y96" s="10" t="n">
        <v>14.26</v>
      </c>
      <c r="Z96" s="10" t="n">
        <v>0</v>
      </c>
      <c r="AA96" s="10" t="n">
        <v>0.29</v>
      </c>
      <c r="AB96" s="10" t="n">
        <v>196.3</v>
      </c>
      <c r="AC96" s="7" t="inlineStr">
        <is>
          <t>Yes</t>
        </is>
      </c>
      <c r="AD96" s="23" t="n">
        <v>7.389</v>
      </c>
      <c r="AE96" s="7" t="inlineStr"/>
      <c r="AF96" s="7" t="inlineStr">
        <is>
          <t>03-10-2026</t>
        </is>
      </c>
    </row>
    <row r="98">
      <c r="A98" s="18" t="inlineStr">
        <is>
          <t>Every order row from all 5 annexure(s) (95 orders). Cancelled-order rows are shaded amber. 'Taxable value' = item total + packaging − restaurant-funded discounts (the full value billed to the customer). 'GST-reportable value' is the same figure, except that an order cancelled before pickup by the customer/Swiggy is reported at the 80% compensation value — see the 'Cancelled Orders' sheet.</t>
        </is>
      </c>
    </row>
  </sheetData>
  <autoFilter ref="A1:AF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42"/>
  <sheetViews>
    <sheetView workbookViewId="0">
      <selection activeCell="A1" sqref="A1"/>
    </sheetView>
  </sheetViews>
  <sheetFormatPr baseColWidth="8" defaultRowHeight="15"/>
  <cols>
    <col width="40" customWidth="1" min="1" max="1"/>
    <col width="24" customWidth="1" min="2" max="2"/>
    <col width="74" customWidth="1" min="3" max="3"/>
    <col width="13" customWidth="1" min="4" max="4"/>
    <col width="15" customWidth="1" min="5" max="5"/>
    <col width="17" customWidth="1" min="6" max="6"/>
    <col width="12" customWidth="1" min="7" max="7"/>
    <col width="46" customWidth="1" min="8" max="8"/>
    <col width="15" customWidth="1" min="9" max="9"/>
    <col width="14" customWidth="1" min="10" max="10"/>
    <col width="15" customWidth="1" min="11" max="11"/>
    <col width="17" customWidth="1" min="12" max="12"/>
    <col width="12" customWidth="1" min="13" max="13"/>
    <col width="10" customWidth="1" min="14" max="14"/>
    <col width="15" customWidth="1" min="15" max="15"/>
    <col width="13" customWidth="1" min="16" max="16"/>
    <col width="12" customWidth="1" min="17" max="17"/>
  </cols>
  <sheetData>
    <row r="1">
      <c r="A1" s="21" t="inlineStr">
        <is>
          <t>Cancelled orders — the 80% compensation policy</t>
        </is>
      </c>
    </row>
    <row r="2">
      <c r="A2" s="2" t="inlineStr">
        <is>
          <t>Every rupee of a pre-pickup cancellation accounted for: value, GST and the deduction</t>
        </is>
      </c>
    </row>
    <row r="4">
      <c r="A4" s="3" t="inlineStr">
        <is>
          <t>Swiggy's policy: "Order cancelled before pickup — as per policy, you will be paid 80% less commissions as compensation."</t>
        </is>
      </c>
    </row>
    <row r="5">
      <c r="A5" s="3" t="inlineStr">
        <is>
          <t>The restaurant is taxed on the 80% compensation, not on the full value the customer had paid, and the un-compensated 20% is deducted from the payout as a GST-inclusive amount.</t>
        </is>
      </c>
    </row>
    <row r="6">
      <c r="A6" s="3" t="inlineStr">
        <is>
          <t>For order 247576408124202 (net bill value ₹590.00), in the 01 – 05 Sep cycle — cancelled by Swiggy:</t>
        </is>
      </c>
    </row>
    <row r="7">
      <c r="A7" s="4" t="inlineStr">
        <is>
          <t xml:space="preserve">        compensation  80% × 590.00 = 472.00   + GST 5% 23.60  =  495.60  → credited (commission is charged on this)</t>
        </is>
      </c>
    </row>
    <row r="8">
      <c r="A8" s="4" t="inlineStr">
        <is>
          <t xml:space="preserve">        un-compensated 20% × 590.00 = 118.00  + GST 5% 5.90  =  123.90  → 'Complaint &amp; Cancellation Charges [18+19]'</t>
        </is>
      </c>
    </row>
    <row r="9">
      <c r="A9" s="4" t="inlineStr">
        <is>
          <t xml:space="preserve">        ---------------------------------------------------------------------------------------------------------</t>
        </is>
      </c>
    </row>
    <row r="10">
      <c r="A10" s="4" t="inlineStr">
        <is>
          <t xml:space="preserve">        net bill value 590.00 + GST 29.50 = 619.50 paid by the customer = 495.60 + 123.90</t>
        </is>
      </c>
    </row>
    <row r="12">
      <c r="A12" s="5" t="inlineStr">
        <is>
          <t>A.  Cancelled before pickup (not by the restaurant) — compensated at 80%</t>
        </is>
      </c>
    </row>
    <row r="13" ht="30" customHeight="1">
      <c r="A13" s="6" t="inlineStr">
        <is>
          <t>Payout period</t>
        </is>
      </c>
      <c r="B13" s="6" t="inlineStr">
        <is>
          <t>Order ID</t>
        </is>
      </c>
      <c r="C13" s="6" t="inlineStr">
        <is>
          <t>Cancelled by</t>
        </is>
      </c>
      <c r="D13" s="6" t="inlineStr">
        <is>
          <t>Net bill value</t>
        </is>
      </c>
      <c r="E13" s="6" t="inlineStr">
        <is>
          <t>GST collected</t>
        </is>
      </c>
      <c r="F13" s="6" t="inlineStr">
        <is>
          <t>Paid by customer</t>
        </is>
      </c>
      <c r="G13" s="6" t="inlineStr">
        <is>
          <t>Compensation 80% (pre-tax)</t>
        </is>
      </c>
      <c r="H13" s="6" t="inlineStr">
        <is>
          <t>GST @5% on compensation</t>
        </is>
      </c>
      <c r="I13" s="6" t="inlineStr">
        <is>
          <t>Compensation received (incl. GST)</t>
        </is>
      </c>
      <c r="J13" s="6" t="inlineStr">
        <is>
          <t>Un-compensated 20% (pre-tax)</t>
        </is>
      </c>
      <c r="K13" s="6" t="inlineStr">
        <is>
          <t>GST @5% on the un-compensated 20%</t>
        </is>
      </c>
      <c r="L13" s="6" t="inlineStr">
        <is>
          <t>Complaint &amp; cancellation charges deducted (GST-inclusive)</t>
        </is>
      </c>
      <c r="M13" s="6" t="inlineStr">
        <is>
          <t>Per annexure</t>
        </is>
      </c>
      <c r="N13" s="6" t="inlineStr">
        <is>
          <t>Difference</t>
        </is>
      </c>
      <c r="O13" s="6" t="inlineStr">
        <is>
          <t>Check: compensation + deduction = paid by customer</t>
        </is>
      </c>
      <c r="P13" s="6" t="inlineStr">
        <is>
          <t>TDS @0.1% on compensation</t>
        </is>
      </c>
      <c r="Q13" s="6" t="inlineStr">
        <is>
          <t>TDS per annexure</t>
        </is>
      </c>
    </row>
    <row r="14" ht="26" customHeight="1">
      <c r="A14" s="7" t="inlineStr">
        <is>
          <t>01 – 05 Sep</t>
        </is>
      </c>
      <c r="B14" s="7" t="inlineStr">
        <is>
          <t>247576408124202</t>
        </is>
      </c>
      <c r="C14" s="7" t="inlineStr">
        <is>
          <t>Swiggy</t>
        </is>
      </c>
      <c r="D14" s="10" t="n">
        <v>590</v>
      </c>
      <c r="E14" s="10" t="n">
        <v>29.5</v>
      </c>
      <c r="F14" s="10" t="n">
        <v>619.5</v>
      </c>
      <c r="G14" s="10" t="n">
        <v>472</v>
      </c>
      <c r="H14" s="10" t="n">
        <v>23.6</v>
      </c>
      <c r="I14" s="10" t="n">
        <v>495.6</v>
      </c>
      <c r="J14" s="10" t="n">
        <v>118</v>
      </c>
      <c r="K14" s="10" t="n">
        <v>5.9</v>
      </c>
      <c r="L14" s="30" t="n">
        <v>123.9</v>
      </c>
      <c r="M14" s="10" t="n">
        <v>123.9</v>
      </c>
      <c r="N14" s="10" t="n">
        <v>0</v>
      </c>
      <c r="O14" s="10" t="n">
        <v>619.5</v>
      </c>
      <c r="P14" s="10" t="n">
        <v>0.47</v>
      </c>
      <c r="Q14" s="10" t="n">
        <v>0.47</v>
      </c>
    </row>
    <row r="16">
      <c r="A16" s="5" t="inlineStr">
        <is>
          <t>B.  Cancelled by the restaurant — no compensation, no supply, no GST on the food</t>
        </is>
      </c>
    </row>
    <row r="17" ht="30" customHeight="1">
      <c r="A17" s="6" t="inlineStr">
        <is>
          <t>Payout period</t>
        </is>
      </c>
      <c r="B17" s="6" t="inlineStr">
        <is>
          <t>Order ID</t>
        </is>
      </c>
      <c r="C17" s="6" t="inlineStr">
        <is>
          <t>Restaurant cancellation charge (excl. GST)</t>
        </is>
      </c>
      <c r="D17" s="6" t="inlineStr">
        <is>
          <t>GST @18% on the charge</t>
        </is>
      </c>
      <c r="E17" s="6" t="inlineStr">
        <is>
          <t>Total recovered by Swiggy</t>
        </is>
      </c>
      <c r="F17" s="6" t="inlineStr">
        <is>
          <t>GST discharged u/s 9(5) on the food</t>
        </is>
      </c>
      <c r="G17" s="6" t="inlineStr">
        <is>
          <t>Net payout</t>
        </is>
      </c>
      <c r="H17" s="6" t="inlineStr">
        <is>
          <t>Remark</t>
        </is>
      </c>
    </row>
    <row r="18" ht="26" customHeight="1">
      <c r="A18" s="31" t="inlineStr">
        <is>
          <t>06 – 12 Sep</t>
        </is>
      </c>
      <c r="B18" s="31" t="inlineStr">
        <is>
          <t>248201907107833</t>
        </is>
      </c>
      <c r="C18" s="32" t="n">
        <v>82.5</v>
      </c>
      <c r="D18" s="32" t="n">
        <v>14.86</v>
      </c>
      <c r="E18" s="32" t="n">
        <v>97.36</v>
      </c>
      <c r="F18" s="32" t="n">
        <v>0</v>
      </c>
      <c r="G18" s="32" t="n">
        <v>-97.34999999999999</v>
      </c>
      <c r="H18" s="33" t="inlineStr">
        <is>
          <t>No supply — the restaurant keeps nothing and pays the cancellation charge; no GST arises on the food</t>
        </is>
      </c>
    </row>
    <row r="19" ht="26" customHeight="1">
      <c r="A19" s="31" t="inlineStr">
        <is>
          <t>13 – 19 Sep</t>
        </is>
      </c>
      <c r="B19" s="31" t="inlineStr">
        <is>
          <t>248773805195420</t>
        </is>
      </c>
      <c r="C19" s="32" t="n">
        <v>252.25</v>
      </c>
      <c r="D19" s="32" t="n">
        <v>45.4</v>
      </c>
      <c r="E19" s="32" t="n">
        <v>297.65</v>
      </c>
      <c r="F19" s="32" t="n">
        <v>0</v>
      </c>
      <c r="G19" s="32" t="n">
        <v>-297.65</v>
      </c>
      <c r="H19" s="33" t="inlineStr">
        <is>
          <t>No supply — the restaurant keeps nothing and pays the cancellation charge; no GST arises on the food</t>
        </is>
      </c>
    </row>
    <row r="22">
      <c r="A22" s="5" t="inlineStr">
        <is>
          <t>C.  How this maps to the annexure columns</t>
        </is>
      </c>
    </row>
    <row r="23" ht="30" customHeight="1">
      <c r="A23" s="6" t="inlineStr">
        <is>
          <t>Annexure column</t>
        </is>
      </c>
      <c r="B23" s="6" t="inlineStr">
        <is>
          <t>Value for order 247576408124202</t>
        </is>
      </c>
      <c r="C23" s="6" t="inlineStr">
        <is>
          <t>Meaning</t>
        </is>
      </c>
    </row>
    <row r="24" ht="28" customHeight="1">
      <c r="A24" s="33" t="inlineStr">
        <is>
          <t>Net Bill Value (before taxes) [1+2-3]</t>
        </is>
      </c>
      <c r="B24" s="34" t="n">
        <v>590</v>
      </c>
      <c r="C24" s="33" t="inlineStr">
        <is>
          <t>Order value, exclusive of GST</t>
        </is>
      </c>
    </row>
    <row r="25" ht="28" customHeight="1">
      <c r="A25" s="33" t="inlineStr">
        <is>
          <t>GST Collected</t>
        </is>
      </c>
      <c r="B25" s="34" t="n">
        <v>29.5</v>
      </c>
      <c r="C25" s="33" t="inlineStr">
        <is>
          <t>5% charged to the customer on ₹590.00</t>
        </is>
      </c>
    </row>
    <row r="26" ht="28" customHeight="1">
      <c r="A26" s="33" t="inlineStr">
        <is>
          <t>Total Customer Paid [4+5]</t>
        </is>
      </c>
      <c r="B26" s="34" t="n">
        <v>619.5</v>
      </c>
      <c r="C26" s="33" t="inlineStr">
        <is>
          <t>What the customer actually paid</t>
        </is>
      </c>
    </row>
    <row r="27" ht="28" customHeight="1">
      <c r="A27" s="33" t="inlineStr">
        <is>
          <t>Commission charged on</t>
        </is>
      </c>
      <c r="B27" s="34" t="n">
        <v>495.6</v>
      </c>
      <c r="C27" s="33" t="inlineStr">
        <is>
          <t>80% × ₹619.50 — commission is charged on the compensation, not the full order</t>
        </is>
      </c>
    </row>
    <row r="28" ht="28" customHeight="1">
      <c r="A28" s="33" t="inlineStr">
        <is>
          <t>GST Deduction</t>
        </is>
      </c>
      <c r="B28" s="34" t="n">
        <v>23.6</v>
      </c>
      <c r="C28" s="33" t="inlineStr">
        <is>
          <t>5% × ₹472.00 — tax discharged u/s 9(5) on the compensation value only</t>
        </is>
      </c>
    </row>
    <row r="29" ht="28" customHeight="1">
      <c r="A29" s="33" t="inlineStr">
        <is>
          <t>Customer Cancellations / Complaint &amp; Cancellation Charges [18+19]</t>
        </is>
      </c>
      <c r="B29" s="34" t="n">
        <v>123.9</v>
      </c>
      <c r="C29" s="33" t="inlineStr">
        <is>
          <t>Un-compensated 20% (₹118.00) + GST @5% on it (₹5.90) — a GST-inclusive deduction</t>
        </is>
      </c>
    </row>
    <row r="30" ht="28" customHeight="1">
      <c r="A30" s="33" t="inlineStr">
        <is>
          <t>TDS</t>
        </is>
      </c>
      <c r="B30" s="34" t="n">
        <v>0.47</v>
      </c>
      <c r="C30" s="33" t="inlineStr">
        <is>
          <t>0.1% × ₹472.00 — TDS on the compensation value only</t>
        </is>
      </c>
    </row>
    <row r="32">
      <c r="A32" s="5" t="inlineStr">
        <is>
          <t>D.  Effect on the month's GST</t>
        </is>
      </c>
    </row>
    <row r="33" ht="28" customHeight="1">
      <c r="A33" s="7" t="inlineStr">
        <is>
          <t>Billed value of all orders</t>
        </is>
      </c>
      <c r="B33" s="10" t="n">
        <v>46236.33</v>
      </c>
      <c r="C33" s="33" t="inlineStr">
        <is>
          <t>Full value shown to customers</t>
        </is>
      </c>
    </row>
    <row r="34" ht="28" customHeight="1">
      <c r="A34" s="7" t="inlineStr">
        <is>
          <t>Less: un-compensated 20% of the cancelled order (pre-tax)</t>
        </is>
      </c>
      <c r="B34" s="10" t="n">
        <v>-118</v>
      </c>
      <c r="C34" s="33" t="inlineStr">
        <is>
          <t>Value is not a supply because the restaurant was compensated at 80% of the order value</t>
        </is>
      </c>
    </row>
    <row r="35" ht="28" customHeight="1">
      <c r="A35" s="15" t="inlineStr">
        <is>
          <t>GST-reportable value</t>
        </is>
      </c>
      <c r="B35" s="17" t="n">
        <v>46118.33</v>
      </c>
      <c r="C35" s="35" t="inlineStr">
        <is>
          <t>Value on which the 5% GST is discharged u/s 9(5)</t>
        </is>
      </c>
    </row>
    <row r="36" ht="28" customHeight="1">
      <c r="A36" s="7" t="inlineStr">
        <is>
          <t>GST discharged by Swiggy</t>
        </is>
      </c>
      <c r="B36" s="10" t="n">
        <v>2305.92</v>
      </c>
      <c r="C36" s="33">
        <f> 5% × the reportable value — agrees to the paisa</f>
        <v/>
      </c>
    </row>
    <row r="37" ht="28" customHeight="1">
      <c r="A37" s="7" t="inlineStr">
        <is>
          <t>GST collected from customers on the full billed value</t>
        </is>
      </c>
      <c r="B37" s="10" t="n">
        <v>2311.94</v>
      </c>
      <c r="C37" s="33" t="inlineStr">
        <is>
          <t>5% × ₹46,236.33</t>
        </is>
      </c>
    </row>
    <row r="38" ht="28" customHeight="1">
      <c r="A38" s="7" t="inlineStr">
        <is>
          <t>Less: GST on the un-compensated 20%, deducted inside the ₹123.90 cancellation charge</t>
        </is>
      </c>
      <c r="B38" s="10" t="n">
        <v>-5.9</v>
      </c>
      <c r="C38" s="33" t="inlineStr">
        <is>
          <t>This GST is not payable (the balance 20% is not a supply) and is deducted from the payout along with the value</t>
        </is>
      </c>
    </row>
    <row r="39" ht="28" customHeight="1">
      <c r="A39" s="7" t="inlineStr">
        <is>
          <t>Less: paise rounding inside the annexures</t>
        </is>
      </c>
      <c r="B39" s="10" t="n">
        <v>-0.12</v>
      </c>
      <c r="C39" s="33" t="inlineStr">
        <is>
          <t>Each order's GST is rounded to the nearest paisa</t>
        </is>
      </c>
    </row>
    <row r="40" ht="28" customHeight="1">
      <c r="A40" s="15" t="inlineStr">
        <is>
          <t>GST discharged by Swiggy — after the two adjustments above</t>
        </is>
      </c>
      <c r="B40" s="17" t="n">
        <v>2305.92</v>
      </c>
      <c r="C40" s="35" t="inlineStr">
        <is>
          <t>Ties the total GST billed to customers to the total GST discharged</t>
        </is>
      </c>
    </row>
    <row r="42">
      <c r="A42" s="18" t="inlineStr">
        <is>
          <t>Policy basis: Swiggy compensates a pre-pickup cancellation (not caused by the restaurant) at 80% of the order value; GST u/s 9(5) and TDS u/s 194-O are computed on that compensation value, and the un-compensated 20% is deducted inclusive of its 5% GST. Verified order by order against the annexures.</t>
        </is>
      </c>
    </row>
  </sheetData>
  <mergeCells count="7">
    <mergeCell ref="A5:J5"/>
    <mergeCell ref="A8:J8"/>
    <mergeCell ref="A6:J6"/>
    <mergeCell ref="A9:J9"/>
    <mergeCell ref="A4:J4"/>
    <mergeCell ref="A7:J7"/>
    <mergeCell ref="A10:J1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6" customWidth="1" min="1" max="1"/>
    <col width="18" customWidth="1" min="2" max="2"/>
    <col width="13" customWidth="1" min="3" max="3"/>
    <col width="13" customWidth="1" min="4" max="4"/>
    <col width="14" customWidth="1" min="5" max="5"/>
    <col width="12" customWidth="1" min="6" max="6"/>
    <col width="12" customWidth="1" min="7" max="7"/>
    <col width="18" customWidth="1" min="8" max="8"/>
    <col width="62" customWidth="1" min="9" max="9"/>
  </cols>
  <sheetData>
    <row r="1">
      <c r="A1" s="21" t="inlineStr">
        <is>
          <t>Ads investments &amp; other restaurant-level adjustments</t>
        </is>
      </c>
    </row>
    <row r="2">
      <c r="A2" s="2" t="inlineStr">
        <is>
          <t>Deductions recovered at restaurant level (not attached to any single order)</t>
        </is>
      </c>
    </row>
    <row r="4" ht="30" customHeight="1">
      <c r="A4" s="6" t="inlineStr">
        <is>
          <t>Payout period</t>
        </is>
      </c>
      <c r="B4" s="6" t="inlineStr">
        <is>
          <t>Adjustment type</t>
        </is>
      </c>
      <c r="C4" s="6" t="inlineStr">
        <is>
          <t>Total amount</t>
        </is>
      </c>
      <c r="D4" s="6" t="inlineStr">
        <is>
          <t>Settled amount</t>
        </is>
      </c>
      <c r="E4" s="6" t="inlineStr">
        <is>
          <t>Outstanding amount</t>
        </is>
      </c>
      <c r="F4" s="6" t="inlineStr">
        <is>
          <t>Period from</t>
        </is>
      </c>
      <c r="G4" s="6" t="inlineStr">
        <is>
          <t>Period to</t>
        </is>
      </c>
      <c r="H4" s="6" t="inlineStr">
        <is>
          <t>Invoice number</t>
        </is>
      </c>
      <c r="I4" s="6" t="inlineStr">
        <is>
          <t>Remarks</t>
        </is>
      </c>
    </row>
    <row r="5">
      <c r="A5" s="7" t="inlineStr">
        <is>
          <t>01 – 05 Sep</t>
        </is>
      </c>
      <c r="B5" s="7" t="inlineStr">
        <is>
          <t>Ads Offers</t>
        </is>
      </c>
      <c r="C5" s="10" t="n">
        <v>-59.59</v>
      </c>
      <c r="D5" s="10" t="n">
        <v>-59.59</v>
      </c>
      <c r="E5" s="10" t="n">
        <v>0</v>
      </c>
      <c r="F5" s="7" t="inlineStr">
        <is>
          <t>2026-09-01</t>
        </is>
      </c>
      <c r="G5" s="7" t="inlineStr">
        <is>
          <t>2026-09-05</t>
        </is>
      </c>
      <c r="H5" s="7" t="inlineStr">
        <is>
          <t>260909FS24001458</t>
        </is>
      </c>
      <c r="I5" s="33" t="inlineStr">
        <is>
          <t>Deduction 1 of Ads Offers - Ads Growth Pack - Aug'26 - Ind_Next_CP</t>
        </is>
      </c>
    </row>
    <row r="6">
      <c r="A6" s="7" t="inlineStr">
        <is>
          <t>01 – 05 Sep</t>
        </is>
      </c>
      <c r="B6" s="7" t="inlineStr">
        <is>
          <t>Top Picks - Ads</t>
        </is>
      </c>
      <c r="C6" s="10" t="n">
        <v>-110.62</v>
      </c>
      <c r="D6" s="10" t="n">
        <v>-110.62</v>
      </c>
      <c r="E6" s="10" t="n">
        <v>0</v>
      </c>
      <c r="F6" s="7" t="inlineStr">
        <is>
          <t>2026-09-01</t>
        </is>
      </c>
      <c r="G6" s="7" t="inlineStr">
        <is>
          <t>2026-09-05</t>
        </is>
      </c>
      <c r="H6" s="7" t="inlineStr">
        <is>
          <t>260909FS24001458</t>
        </is>
      </c>
      <c r="I6" s="33" t="inlineStr">
        <is>
          <t>Deduction 1 of Top Picks - Ads - Ind_Next_Aug'26</t>
        </is>
      </c>
    </row>
    <row r="7">
      <c r="A7" s="7" t="inlineStr">
        <is>
          <t>06 – 12 Sep</t>
        </is>
      </c>
      <c r="B7" s="7" t="inlineStr">
        <is>
          <t>Ads Offers</t>
        </is>
      </c>
      <c r="C7" s="10" t="n">
        <v>-59.59</v>
      </c>
      <c r="D7" s="10" t="n">
        <v>-59.59</v>
      </c>
      <c r="E7" s="10" t="n">
        <v>0</v>
      </c>
      <c r="F7" s="7" t="inlineStr">
        <is>
          <t>2026-09-06</t>
        </is>
      </c>
      <c r="G7" s="7" t="inlineStr">
        <is>
          <t>2026-09-12</t>
        </is>
      </c>
      <c r="H7" s="7" t="inlineStr">
        <is>
          <t>260916FS24001471</t>
        </is>
      </c>
      <c r="I7" s="33" t="inlineStr">
        <is>
          <t>Deduction 2 of Ads Offers - Ads Growth Pack - Aug'26 - Ind_Next_CP</t>
        </is>
      </c>
    </row>
    <row r="8">
      <c r="A8" s="7" t="inlineStr">
        <is>
          <t>06 – 12 Sep</t>
        </is>
      </c>
      <c r="B8" s="7" t="inlineStr">
        <is>
          <t>Top Picks - Ads</t>
        </is>
      </c>
      <c r="C8" s="10" t="n">
        <v>-110.62</v>
      </c>
      <c r="D8" s="10" t="n">
        <v>-110.62</v>
      </c>
      <c r="E8" s="10" t="n">
        <v>0</v>
      </c>
      <c r="F8" s="7" t="inlineStr">
        <is>
          <t>2026-09-06</t>
        </is>
      </c>
      <c r="G8" s="7" t="inlineStr">
        <is>
          <t>2026-09-12</t>
        </is>
      </c>
      <c r="H8" s="7" t="inlineStr">
        <is>
          <t>260916FS24001471</t>
        </is>
      </c>
      <c r="I8" s="33" t="inlineStr">
        <is>
          <t>Deduction 2 of Top Picks - Ads - Ind_Next_Aug'26</t>
        </is>
      </c>
    </row>
    <row r="9">
      <c r="A9" s="7" t="inlineStr">
        <is>
          <t>13 – 19 Sep</t>
        </is>
      </c>
      <c r="B9" s="7" t="inlineStr">
        <is>
          <t>Ads Offers</t>
        </is>
      </c>
      <c r="C9" s="10" t="n">
        <v>-59.59</v>
      </c>
      <c r="D9" s="10" t="n">
        <v>-59.59</v>
      </c>
      <c r="E9" s="10" t="n">
        <v>0</v>
      </c>
      <c r="F9" s="7" t="inlineStr">
        <is>
          <t>2026-09-13</t>
        </is>
      </c>
      <c r="G9" s="7" t="inlineStr">
        <is>
          <t>2026-09-19</t>
        </is>
      </c>
      <c r="H9" s="7" t="inlineStr">
        <is>
          <t>260923FS24003628</t>
        </is>
      </c>
      <c r="I9" s="33" t="inlineStr">
        <is>
          <t>Deduction 3 of Ads Offers - Ads Growth Pack - Aug'26 - Ind_Next_CP</t>
        </is>
      </c>
    </row>
    <row r="10">
      <c r="A10" s="7" t="inlineStr">
        <is>
          <t>13 – 19 Sep</t>
        </is>
      </c>
      <c r="B10" s="7" t="inlineStr">
        <is>
          <t>Top Picks - Ads</t>
        </is>
      </c>
      <c r="C10" s="10" t="n">
        <v>-110.62</v>
      </c>
      <c r="D10" s="10" t="n">
        <v>-110.62</v>
      </c>
      <c r="E10" s="10" t="n">
        <v>0</v>
      </c>
      <c r="F10" s="7" t="inlineStr">
        <is>
          <t>2026-09-13</t>
        </is>
      </c>
      <c r="G10" s="7" t="inlineStr">
        <is>
          <t>2026-09-19</t>
        </is>
      </c>
      <c r="H10" s="7" t="inlineStr">
        <is>
          <t>260923FS24003628</t>
        </is>
      </c>
      <c r="I10" s="33" t="inlineStr">
        <is>
          <t>Deduction 3 of Top Picks - Ads - Ind_Next_Aug'26</t>
        </is>
      </c>
    </row>
    <row r="11">
      <c r="A11" s="7" t="inlineStr">
        <is>
          <t>20 – 26 Sep</t>
        </is>
      </c>
      <c r="B11" s="7" t="inlineStr">
        <is>
          <t>Ads Offers</t>
        </is>
      </c>
      <c r="C11" s="10" t="n">
        <v>-59.59</v>
      </c>
      <c r="D11" s="10" t="n">
        <v>-59.59</v>
      </c>
      <c r="E11" s="10" t="n">
        <v>0</v>
      </c>
      <c r="F11" s="7" t="inlineStr">
        <is>
          <t>2026-09-20</t>
        </is>
      </c>
      <c r="G11" s="7" t="inlineStr">
        <is>
          <t>2026-09-26</t>
        </is>
      </c>
      <c r="H11" s="7" t="inlineStr">
        <is>
          <t>261001FS24001606</t>
        </is>
      </c>
      <c r="I11" s="33" t="inlineStr">
        <is>
          <t>Deduction 4 of Ads Offers - Ads Growth Pack - Aug'26 - Ind_Next_CP</t>
        </is>
      </c>
    </row>
    <row r="12">
      <c r="A12" s="7" t="inlineStr">
        <is>
          <t>20 – 26 Sep</t>
        </is>
      </c>
      <c r="B12" s="7" t="inlineStr">
        <is>
          <t>Top Picks - Ads</t>
        </is>
      </c>
      <c r="C12" s="10" t="n">
        <v>-110.62</v>
      </c>
      <c r="D12" s="10" t="n">
        <v>-110.62</v>
      </c>
      <c r="E12" s="10" t="n">
        <v>0</v>
      </c>
      <c r="F12" s="7" t="inlineStr">
        <is>
          <t>2026-09-20</t>
        </is>
      </c>
      <c r="G12" s="7" t="inlineStr">
        <is>
          <t>2026-09-26</t>
        </is>
      </c>
      <c r="H12" s="7" t="inlineStr">
        <is>
          <t>261001FS24001606</t>
        </is>
      </c>
      <c r="I12" s="33" t="inlineStr">
        <is>
          <t>Deduction 4 of Top Picks - Ads - Ind_Next_Aug'26</t>
        </is>
      </c>
    </row>
    <row r="13">
      <c r="A13" s="7" t="inlineStr">
        <is>
          <t>27 – 30 Sep</t>
        </is>
      </c>
      <c r="B13" s="36" t="inlineStr">
        <is>
          <t>No ads investment / adjustment this cycle</t>
        </is>
      </c>
      <c r="C13" s="37" t="n"/>
      <c r="D13" s="37" t="n"/>
      <c r="E13" s="37" t="n"/>
      <c r="F13" s="37" t="n"/>
      <c r="G13" s="37" t="n"/>
      <c r="H13" s="37" t="n"/>
      <c r="I13" s="37" t="n"/>
    </row>
    <row r="14">
      <c r="A14" s="3" t="inlineStr">
        <is>
          <t>TOTAL ADS INVESTMENT</t>
        </is>
      </c>
      <c r="C14" s="17" t="n">
        <v>-680.84</v>
      </c>
    </row>
    <row r="16">
      <c r="A16" s="5" t="inlineStr">
        <is>
          <t>Other adjustments (refunds recovered, penalty etc.)</t>
        </is>
      </c>
    </row>
    <row r="17" ht="30" customHeight="1">
      <c r="A17" s="6" t="inlineStr">
        <is>
          <t>Payout period</t>
        </is>
      </c>
      <c r="B17" s="6" t="inlineStr">
        <is>
          <t>Adjustment type</t>
        </is>
      </c>
      <c r="C17" s="6" t="inlineStr">
        <is>
          <t>Total amount</t>
        </is>
      </c>
      <c r="D17" s="6" t="inlineStr">
        <is>
          <t>Settled amount</t>
        </is>
      </c>
      <c r="E17" s="6" t="inlineStr">
        <is>
          <t>Outstanding amount</t>
        </is>
      </c>
      <c r="F17" s="6" t="inlineStr">
        <is>
          <t>Invoice number</t>
        </is>
      </c>
      <c r="G17" s="6" t="inlineStr">
        <is>
          <t>Remarks</t>
        </is>
      </c>
    </row>
    <row r="18">
      <c r="A18" s="7" t="inlineStr">
        <is>
          <t>All periods</t>
        </is>
      </c>
      <c r="B18" s="7" t="inlineStr">
        <is>
          <t>Nil — no adjustment or refund recovered by Swiggy in any of the five cycles</t>
        </is>
      </c>
      <c r="C18" s="37" t="n"/>
      <c r="D18" s="37" t="n"/>
      <c r="E18" s="37" t="n"/>
      <c r="F18" s="37" t="n"/>
      <c r="G18" s="37" t="n"/>
    </row>
    <row r="20">
      <c r="A20" s="18" t="inlineStr">
        <is>
          <t>Note: ads investments are recovered from the payout outside the order-level sheet, so they reduce the settlement but are not part of any single order's economics.</t>
        </is>
      </c>
    </row>
    <row r="22">
      <c r="A22" s="18" t="inlineStr">
        <is>
          <t>Source: Swiggy weekly payout annexures · Prepared 05 October 2026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6" customWidth="1" min="1" max="1"/>
    <col width="22" customWidth="1" min="2" max="2"/>
    <col width="20" customWidth="1" min="3" max="3"/>
    <col width="14" customWidth="1" min="4" max="4"/>
    <col width="16" customWidth="1" min="5" max="5"/>
    <col width="14" customWidth="1" min="6" max="6"/>
    <col width="18" customWidth="1" min="7" max="7"/>
    <col width="42" customWidth="1" min="8" max="8"/>
  </cols>
  <sheetData>
    <row r="1">
      <c r="A1" s="21" t="inlineStr">
        <is>
          <t>Discount campaigns reported by Swiggy</t>
        </is>
      </c>
    </row>
    <row r="2">
      <c r="A2" s="2" t="inlineStr">
        <is>
          <t>Active discounts applied on orders during each report period</t>
        </is>
      </c>
    </row>
    <row r="4" ht="30" customHeight="1">
      <c r="A4" s="6" t="inlineStr">
        <is>
          <t>Payout period</t>
        </is>
      </c>
      <c r="B4" s="6" t="inlineStr">
        <is>
          <t>Validity</t>
        </is>
      </c>
      <c r="C4" s="6" t="inlineStr">
        <is>
          <t>Coupon details</t>
        </is>
      </c>
      <c r="D4" s="6" t="inlineStr">
        <is>
          <t>Restaurant share (%)</t>
        </is>
      </c>
      <c r="E4" s="6" t="inlineStr">
        <is>
          <t>Total orders with discount</t>
        </is>
      </c>
      <c r="F4" s="6" t="inlineStr">
        <is>
          <t>Total discount given</t>
        </is>
      </c>
      <c r="G4" s="6" t="inlineStr">
        <is>
          <t>Target customers</t>
        </is>
      </c>
      <c r="H4" s="6" t="inlineStr">
        <is>
          <t>Remarks</t>
        </is>
      </c>
    </row>
    <row r="5">
      <c r="A5" s="7" t="inlineStr">
        <is>
          <t>01 – 05 Sep</t>
        </is>
      </c>
      <c r="B5" s="7" t="inlineStr">
        <is>
          <t xml:space="preserve"> - </t>
        </is>
      </c>
      <c r="C5" s="7" t="inlineStr">
        <is>
          <t xml:space="preserve"> [  ]</t>
        </is>
      </c>
      <c r="D5" s="7" t="n"/>
      <c r="E5" s="7" t="n">
        <v>13</v>
      </c>
      <c r="F5" s="10" t="n">
        <v>0</v>
      </c>
      <c r="G5" s="7" t="n"/>
      <c r="H5" s="33" t="inlineStr">
        <is>
          <t>Unable to fetch Campaign Details</t>
        </is>
      </c>
    </row>
    <row r="6">
      <c r="A6" s="7" t="inlineStr">
        <is>
          <t>06 – 12 Sep</t>
        </is>
      </c>
      <c r="B6" s="7" t="inlineStr">
        <is>
          <t xml:space="preserve"> - </t>
        </is>
      </c>
      <c r="C6" s="7" t="inlineStr">
        <is>
          <t xml:space="preserve"> [  ]</t>
        </is>
      </c>
      <c r="D6" s="7" t="n"/>
      <c r="E6" s="7" t="n">
        <v>21</v>
      </c>
      <c r="F6" s="10" t="n">
        <v>0</v>
      </c>
      <c r="G6" s="7" t="n"/>
      <c r="H6" s="33" t="inlineStr">
        <is>
          <t>Unable to fetch Campaign Details</t>
        </is>
      </c>
    </row>
    <row r="7">
      <c r="A7" s="7" t="inlineStr">
        <is>
          <t>13 – 19 Sep</t>
        </is>
      </c>
      <c r="B7" s="7" t="inlineStr">
        <is>
          <t xml:space="preserve"> - </t>
        </is>
      </c>
      <c r="C7" s="7" t="inlineStr">
        <is>
          <t xml:space="preserve"> [  ]</t>
        </is>
      </c>
      <c r="D7" s="7" t="n"/>
      <c r="E7" s="7" t="n">
        <v>19</v>
      </c>
      <c r="F7" s="10" t="n">
        <v>0</v>
      </c>
      <c r="G7" s="7" t="n"/>
      <c r="H7" s="33" t="inlineStr">
        <is>
          <t>Unable to fetch Campaign Details</t>
        </is>
      </c>
    </row>
    <row r="8">
      <c r="A8" s="7" t="inlineStr">
        <is>
          <t>20 – 26 Sep</t>
        </is>
      </c>
      <c r="B8" s="7" t="inlineStr">
        <is>
          <t xml:space="preserve"> - </t>
        </is>
      </c>
      <c r="C8" s="7" t="inlineStr">
        <is>
          <t xml:space="preserve"> [  ]</t>
        </is>
      </c>
      <c r="D8" s="7" t="n"/>
      <c r="E8" s="7" t="n">
        <v>8</v>
      </c>
      <c r="F8" s="10" t="n">
        <v>0</v>
      </c>
      <c r="G8" s="7" t="n"/>
      <c r="H8" s="33" t="inlineStr">
        <is>
          <t>Unable to fetch Campaign Details</t>
        </is>
      </c>
    </row>
    <row r="9">
      <c r="A9" s="7" t="inlineStr">
        <is>
          <t>27 – 30 Sep</t>
        </is>
      </c>
      <c r="B9" s="7" t="inlineStr">
        <is>
          <t xml:space="preserve"> - </t>
        </is>
      </c>
      <c r="C9" s="7" t="inlineStr">
        <is>
          <t xml:space="preserve"> [  ]</t>
        </is>
      </c>
      <c r="D9" s="7" t="n"/>
      <c r="E9" s="7" t="n">
        <v>14</v>
      </c>
      <c r="F9" s="10" t="n">
        <v>0</v>
      </c>
      <c r="G9" s="7" t="n"/>
      <c r="H9" s="33" t="inlineStr">
        <is>
          <t>Unable to fetch Campaign Details</t>
        </is>
      </c>
    </row>
    <row r="10">
      <c r="A10" s="3" t="inlineStr">
        <is>
          <t>TOTAL</t>
        </is>
      </c>
      <c r="E10" s="38" t="n">
        <v>75</v>
      </c>
    </row>
    <row r="12">
      <c r="A12" s="18" t="inlineStr">
        <is>
          <t>Note: 'Restaurant share' is reported by Swiggy as blank and the discount amount as ₹0.00, with the remark 'Unable to fetch Campaign Details' — worth raising with the Swiggy relationship manager.</t>
        </is>
      </c>
    </row>
    <row r="14">
      <c r="A14" s="18" t="inlineStr">
        <is>
          <t>Source: Swiggy weekly payout annexures · Prepared 05 October 2026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6" customWidth="1" min="1" max="1"/>
    <col width="14" customWidth="1" min="2" max="2"/>
    <col width="14" customWidth="1" min="3" max="3"/>
    <col width="12" customWidth="1" min="4" max="4"/>
    <col width="15" customWidth="1" min="5" max="5"/>
    <col width="15" customWidth="1" min="6" max="6"/>
    <col width="14" customWidth="1" min="7" max="7"/>
  </cols>
  <sheetData>
    <row r="1">
      <c r="A1" s="21" t="inlineStr">
        <is>
          <t>Unresolved customer complaints</t>
        </is>
      </c>
    </row>
    <row r="2">
      <c r="A2" s="2" t="inlineStr">
        <is>
          <t>Orders belonging to the payout period that are still open</t>
        </is>
      </c>
    </row>
    <row r="4" ht="30" customHeight="1">
      <c r="A4" s="6" t="inlineStr">
        <is>
          <t>Payout period</t>
        </is>
      </c>
      <c r="B4" s="6" t="inlineStr">
        <is>
          <t>Processed: previous periods</t>
        </is>
      </c>
      <c r="C4" s="6" t="inlineStr">
        <is>
          <t>Processed: current period</t>
        </is>
      </c>
      <c r="D4" s="6" t="inlineStr">
        <is>
          <t>Processed: total</t>
        </is>
      </c>
      <c r="E4" s="6" t="inlineStr">
        <is>
          <t>Not processed: previous periods</t>
        </is>
      </c>
      <c r="F4" s="6" t="inlineStr">
        <is>
          <t>Not processed: current period</t>
        </is>
      </c>
      <c r="G4" s="6" t="inlineStr">
        <is>
          <t>Not processed: total</t>
        </is>
      </c>
    </row>
    <row r="5">
      <c r="A5" s="9" t="inlineStr">
        <is>
          <t>01 – 05 Sep</t>
        </is>
      </c>
      <c r="B5" s="9" t="n">
        <v>0</v>
      </c>
      <c r="C5" s="9" t="n">
        <v>19</v>
      </c>
      <c r="D5" s="9" t="n">
        <v>19</v>
      </c>
      <c r="E5" s="9" t="n">
        <v>0</v>
      </c>
      <c r="F5" s="9" t="n">
        <v>0</v>
      </c>
      <c r="G5" s="9" t="n">
        <v>0</v>
      </c>
    </row>
    <row r="6">
      <c r="A6" s="9" t="inlineStr">
        <is>
          <t>06 – 12 Sep</t>
        </is>
      </c>
      <c r="B6" s="9" t="n">
        <v>0</v>
      </c>
      <c r="C6" s="9" t="n">
        <v>25</v>
      </c>
      <c r="D6" s="9" t="n">
        <v>25</v>
      </c>
      <c r="E6" s="9" t="n">
        <v>0</v>
      </c>
      <c r="F6" s="9" t="n">
        <v>0</v>
      </c>
      <c r="G6" s="9" t="n">
        <v>0</v>
      </c>
    </row>
    <row r="7">
      <c r="A7" s="9" t="inlineStr">
        <is>
          <t>13 – 19 Sep</t>
        </is>
      </c>
      <c r="B7" s="9" t="n">
        <v>0</v>
      </c>
      <c r="C7" s="9" t="n">
        <v>24</v>
      </c>
      <c r="D7" s="9" t="n">
        <v>24</v>
      </c>
      <c r="E7" s="9" t="n">
        <v>0</v>
      </c>
      <c r="F7" s="9" t="n">
        <v>0</v>
      </c>
      <c r="G7" s="9" t="n">
        <v>0</v>
      </c>
    </row>
    <row r="8">
      <c r="A8" s="9" t="inlineStr">
        <is>
          <t>20 – 26 Sep</t>
        </is>
      </c>
      <c r="B8" s="9" t="n">
        <v>0</v>
      </c>
      <c r="C8" s="9" t="n">
        <v>10</v>
      </c>
      <c r="D8" s="9" t="n">
        <v>10</v>
      </c>
      <c r="E8" s="9" t="n">
        <v>0</v>
      </c>
      <c r="F8" s="9" t="n">
        <v>0</v>
      </c>
      <c r="G8" s="9" t="n">
        <v>0</v>
      </c>
    </row>
    <row r="9">
      <c r="A9" s="9" t="inlineStr">
        <is>
          <t>27 – 30 Sep</t>
        </is>
      </c>
      <c r="B9" s="9" t="n">
        <v>0</v>
      </c>
      <c r="C9" s="9" t="n">
        <v>17</v>
      </c>
      <c r="D9" s="9" t="n">
        <v>17</v>
      </c>
      <c r="E9" s="9" t="n">
        <v>0</v>
      </c>
      <c r="F9" s="9" t="n">
        <v>0</v>
      </c>
      <c r="G9" s="9" t="n">
        <v>0</v>
      </c>
    </row>
    <row r="11">
      <c r="A11" s="18" t="inlineStr">
        <is>
          <t>No unresolved complaints were reported in any of the five cycles — customer complaint adjustments are therefore nil.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4"/>
  <sheetViews>
    <sheetView workbookViewId="0">
      <selection activeCell="A1" sqref="A1"/>
    </sheetView>
  </sheetViews>
  <sheetFormatPr baseColWidth="8" defaultRowHeight="15"/>
  <cols>
    <col width="60" customWidth="1" min="1" max="1"/>
    <col width="60" customWidth="1" min="2" max="2"/>
    <col width="16" customWidth="1" min="3" max="3"/>
    <col width="14" customWidth="1" min="4" max="4"/>
    <col width="14" customWidth="1" min="5" max="5"/>
    <col width="12" customWidth="1" min="6" max="6"/>
    <col width="11" customWidth="1" min="7" max="7"/>
  </cols>
  <sheetData>
    <row r="1">
      <c r="A1" s="21" t="inlineStr">
        <is>
          <t>Reconciliation &amp; integrity checks</t>
        </is>
      </c>
    </row>
    <row r="2">
      <c r="A2" s="2" t="inlineStr">
        <is>
          <t>Automated tie-out of internal totals and cross-sheet totals</t>
        </is>
      </c>
    </row>
    <row r="3"/>
    <row r="4" ht="30" customHeight="1">
      <c r="A4" s="6" t="inlineStr">
        <is>
          <t>#</t>
        </is>
      </c>
      <c r="B4" s="6" t="inlineStr">
        <is>
          <t>Check</t>
        </is>
      </c>
      <c r="C4" s="6" t="inlineStr">
        <is>
          <t>Scope</t>
        </is>
      </c>
      <c r="D4" s="6" t="inlineStr">
        <is>
          <t>Expected</t>
        </is>
      </c>
      <c r="E4" s="6" t="inlineStr">
        <is>
          <t>Actual</t>
        </is>
      </c>
      <c r="F4" s="6" t="inlineStr">
        <is>
          <t>Difference</t>
        </is>
      </c>
      <c r="G4" s="6" t="inlineStr">
        <is>
          <t>Status</t>
        </is>
      </c>
    </row>
    <row r="5">
      <c r="A5" s="31" t="n">
        <v>1</v>
      </c>
      <c r="B5" s="39" t="inlineStr">
        <is>
          <t>Order-level rows = orders in payout breakup = stated total orders</t>
        </is>
      </c>
      <c r="C5" s="31" t="inlineStr">
        <is>
          <t>01 – 05 Sep</t>
        </is>
      </c>
      <c r="D5" s="31" t="n">
        <v>19</v>
      </c>
      <c r="E5" s="31" t="n">
        <v>19</v>
      </c>
      <c r="F5" s="31" t="n">
        <v>0</v>
      </c>
      <c r="G5" s="40" t="inlineStr">
        <is>
          <t>OK</t>
        </is>
      </c>
    </row>
    <row r="6">
      <c r="A6" s="31" t="n">
        <v>2</v>
      </c>
      <c r="B6" s="39" t="inlineStr">
        <is>
          <t>Total customer paid (order level) = payout breakup line A</t>
        </is>
      </c>
      <c r="C6" s="31" t="inlineStr">
        <is>
          <t>01 – 05 Sep</t>
        </is>
      </c>
      <c r="D6" s="32" t="n">
        <v>11007.2</v>
      </c>
      <c r="E6" s="32" t="n">
        <v>11007.2</v>
      </c>
      <c r="F6" s="32" t="n">
        <v>0</v>
      </c>
      <c r="G6" s="40" t="inlineStr">
        <is>
          <t>OK</t>
        </is>
      </c>
    </row>
    <row r="7">
      <c r="A7" s="31" t="n">
        <v>3</v>
      </c>
      <c r="B7" s="39" t="inlineStr">
        <is>
          <t>GST collected (order level) = payout breakup line 5</t>
        </is>
      </c>
      <c r="C7" s="31" t="inlineStr">
        <is>
          <t>01 – 05 Sep</t>
        </is>
      </c>
      <c r="D7" s="32" t="n">
        <v>524.2</v>
      </c>
      <c r="E7" s="32" t="n">
        <v>524.2</v>
      </c>
      <c r="F7" s="32" t="n">
        <v>0</v>
      </c>
      <c r="G7" s="40" t="inlineStr">
        <is>
          <t>OK</t>
        </is>
      </c>
    </row>
    <row r="8">
      <c r="A8" s="31" t="n">
        <v>4</v>
      </c>
      <c r="B8" s="39" t="inlineStr">
        <is>
          <t>Net payout (order level) = payout breakup G delivered + cancelled</t>
        </is>
      </c>
      <c r="C8" s="31" t="inlineStr">
        <is>
          <t>01 – 05 Sep</t>
        </is>
      </c>
      <c r="D8" s="32" t="n">
        <v>7015.67</v>
      </c>
      <c r="E8" s="32" t="n">
        <v>7015.67</v>
      </c>
      <c r="F8" s="32" t="n">
        <v>-0</v>
      </c>
      <c r="G8" s="40" t="inlineStr">
        <is>
          <t>OK</t>
        </is>
      </c>
    </row>
    <row r="9">
      <c r="A9" s="31" t="n">
        <v>5</v>
      </c>
      <c r="B9" s="39" t="inlineStr">
        <is>
          <t>Payout equation A+B+C+D+E+F = G (net payout)</t>
        </is>
      </c>
      <c r="C9" s="31" t="inlineStr">
        <is>
          <t>01 – 05 Sep</t>
        </is>
      </c>
      <c r="D9" s="32" t="n">
        <v>6845.46</v>
      </c>
      <c r="E9" s="32" t="n">
        <v>6845.44</v>
      </c>
      <c r="F9" s="32" t="n">
        <v>-0.02</v>
      </c>
      <c r="G9" s="40" t="inlineStr">
        <is>
          <t>OK</t>
        </is>
      </c>
    </row>
    <row r="10">
      <c r="A10" s="31" t="n">
        <v>6</v>
      </c>
      <c r="B10" s="39" t="inlineStr">
        <is>
          <t>Delivered + cancelled + ads = total net payout</t>
        </is>
      </c>
      <c r="C10" s="31" t="inlineStr">
        <is>
          <t>01 – 05 Sep</t>
        </is>
      </c>
      <c r="D10" s="32" t="n">
        <v>6845.46</v>
      </c>
      <c r="E10" s="32" t="n">
        <v>6845.46</v>
      </c>
      <c r="F10" s="32" t="n">
        <v>0</v>
      </c>
      <c r="G10" s="40" t="inlineStr">
        <is>
          <t>OK</t>
        </is>
      </c>
    </row>
    <row r="11">
      <c r="A11" s="31" t="n">
        <v>7</v>
      </c>
      <c r="B11" s="39" t="inlineStr">
        <is>
          <t>Net payout = 'Total Payout' printed on the Summary sheet</t>
        </is>
      </c>
      <c r="C11" s="31" t="inlineStr">
        <is>
          <t>01 – 05 Sep</t>
        </is>
      </c>
      <c r="D11" s="32" t="n">
        <v>6845.46</v>
      </c>
      <c r="E11" s="32" t="n">
        <v>6845.46</v>
      </c>
      <c r="F11" s="32" t="n">
        <v>0</v>
      </c>
      <c r="G11" s="40" t="inlineStr">
        <is>
          <t>OK</t>
        </is>
      </c>
    </row>
    <row r="12">
      <c r="A12" s="31" t="n">
        <v>8</v>
      </c>
      <c r="B12" s="39" t="inlineStr">
        <is>
          <t>Order rows = 'Total Orders' printed on the Summary sheet</t>
        </is>
      </c>
      <c r="C12" s="31" t="inlineStr">
        <is>
          <t>01 – 05 Sep</t>
        </is>
      </c>
      <c r="D12" s="31" t="n">
        <v>19</v>
      </c>
      <c r="E12" s="31" t="n">
        <v>19</v>
      </c>
      <c r="F12" s="31" t="n">
        <v>0</v>
      </c>
      <c r="G12" s="40" t="inlineStr">
        <is>
          <t>OK</t>
        </is>
      </c>
    </row>
    <row r="13">
      <c r="A13" s="31" t="n">
        <v>9</v>
      </c>
      <c r="B13" s="39" t="inlineStr">
        <is>
          <t>GST collected = 5% of the billed value (memo, before the cancellation adjustment)</t>
        </is>
      </c>
      <c r="C13" s="31" t="inlineStr">
        <is>
          <t>01 – 05 Sep</t>
        </is>
      </c>
      <c r="D13" s="32" t="n">
        <v>524.15</v>
      </c>
      <c r="E13" s="32" t="n">
        <v>524.2</v>
      </c>
      <c r="F13" s="32" t="n">
        <v>0.05</v>
      </c>
      <c r="G13" s="40" t="inlineStr">
        <is>
          <t>OK</t>
        </is>
      </c>
    </row>
    <row r="14">
      <c r="A14" s="31" t="n">
        <v>10</v>
      </c>
      <c r="B14" s="39" t="inlineStr">
        <is>
          <t>TDS u/s 194-O vs 0.1% of item total</t>
        </is>
      </c>
      <c r="C14" s="31" t="inlineStr">
        <is>
          <t>01 – 05 Sep</t>
        </is>
      </c>
      <c r="D14" s="32" t="n">
        <v>10.48</v>
      </c>
      <c r="E14" s="32" t="n">
        <v>10.37</v>
      </c>
      <c r="F14" s="32" t="n">
        <v>-0.11</v>
      </c>
      <c r="G14" s="40" t="inlineStr">
        <is>
          <t>OK</t>
        </is>
      </c>
    </row>
    <row r="15">
      <c r="A15" s="31" t="n">
        <v>11</v>
      </c>
      <c r="B15" s="39" t="inlineStr">
        <is>
          <t>GST discharged by Swiggy = 5% of compensation-adjusted reportable value</t>
        </is>
      </c>
      <c r="C15" s="31" t="inlineStr">
        <is>
          <t>01 – 05 Sep</t>
        </is>
      </c>
      <c r="D15" s="32" t="n">
        <v>518.25</v>
      </c>
      <c r="E15" s="32" t="n">
        <v>518.25</v>
      </c>
      <c r="F15" s="32" t="n">
        <v>0</v>
      </c>
      <c r="G15" s="40" t="inlineStr">
        <is>
          <t>OK</t>
        </is>
      </c>
    </row>
    <row r="16">
      <c r="A16" s="31" t="n">
        <v>12</v>
      </c>
      <c r="B16" s="39" t="inlineStr">
        <is>
          <t>GST collected from customers vs GST discharged by Swiggy — explained</t>
        </is>
      </c>
      <c r="C16" s="31" t="inlineStr">
        <is>
          <t>01 – 05 Sep</t>
        </is>
      </c>
      <c r="D16" s="32" t="n">
        <v>0</v>
      </c>
      <c r="E16" s="32" t="n">
        <v>5.95</v>
      </c>
      <c r="F16" s="32" t="n">
        <v>5.95</v>
      </c>
      <c r="G16" s="41" t="inlineStr">
        <is>
          <t>EXPLAINED</t>
        </is>
      </c>
    </row>
    <row r="17">
      <c r="A17" s="31" t="n">
        <v>13</v>
      </c>
      <c r="B17" s="39" t="inlineStr">
        <is>
          <t>TCS u/s 52 deducted</t>
        </is>
      </c>
      <c r="C17" s="31" t="inlineStr">
        <is>
          <t>01 – 05 Sep</t>
        </is>
      </c>
      <c r="D17" s="32" t="n">
        <v>0</v>
      </c>
      <c r="E17" s="32" t="n">
        <v>0</v>
      </c>
      <c r="F17" s="32" t="n">
        <v>0</v>
      </c>
      <c r="G17" s="40" t="inlineStr">
        <is>
          <t>OK</t>
        </is>
      </c>
    </row>
    <row r="18">
      <c r="A18" s="31" t="n">
        <v>14</v>
      </c>
      <c r="B18" s="39" t="inlineStr">
        <is>
          <t>Order-level rows = orders in payout breakup = stated total orders</t>
        </is>
      </c>
      <c r="C18" s="31" t="inlineStr">
        <is>
          <t>06 – 12 Sep</t>
        </is>
      </c>
      <c r="D18" s="31" t="n">
        <v>25</v>
      </c>
      <c r="E18" s="31" t="n">
        <v>25</v>
      </c>
      <c r="F18" s="31" t="n">
        <v>0</v>
      </c>
      <c r="G18" s="40" t="inlineStr">
        <is>
          <t>OK</t>
        </is>
      </c>
    </row>
    <row r="19">
      <c r="A19" s="31" t="n">
        <v>15</v>
      </c>
      <c r="B19" s="39" t="inlineStr">
        <is>
          <t>Total customer paid (order level) = payout breakup line A</t>
        </is>
      </c>
      <c r="C19" s="31" t="inlineStr">
        <is>
          <t>06 – 12 Sep</t>
        </is>
      </c>
      <c r="D19" s="32" t="n">
        <v>12017.28</v>
      </c>
      <c r="E19" s="32" t="n">
        <v>12017.28</v>
      </c>
      <c r="F19" s="32" t="n">
        <v>0</v>
      </c>
      <c r="G19" s="40" t="inlineStr">
        <is>
          <t>OK</t>
        </is>
      </c>
    </row>
    <row r="20">
      <c r="A20" s="31" t="n">
        <v>16</v>
      </c>
      <c r="B20" s="39" t="inlineStr">
        <is>
          <t>GST collected (order level) = payout breakup line 5</t>
        </is>
      </c>
      <c r="C20" s="31" t="inlineStr">
        <is>
          <t>06 – 12 Sep</t>
        </is>
      </c>
      <c r="D20" s="32" t="n">
        <v>572.28</v>
      </c>
      <c r="E20" s="32" t="n">
        <v>572.28</v>
      </c>
      <c r="F20" s="32" t="n">
        <v>0</v>
      </c>
      <c r="G20" s="40" t="inlineStr">
        <is>
          <t>OK</t>
        </is>
      </c>
    </row>
    <row r="21">
      <c r="A21" s="31" t="n">
        <v>17</v>
      </c>
      <c r="B21" s="39" t="inlineStr">
        <is>
          <t>Net payout (order level) = payout breakup G delivered + cancelled</t>
        </is>
      </c>
      <c r="C21" s="31" t="inlineStr">
        <is>
          <t>06 – 12 Sep</t>
        </is>
      </c>
      <c r="D21" s="32" t="n">
        <v>7649.3</v>
      </c>
      <c r="E21" s="32" t="n">
        <v>7649.3</v>
      </c>
      <c r="F21" s="32" t="n">
        <v>0</v>
      </c>
      <c r="G21" s="40" t="inlineStr">
        <is>
          <t>OK</t>
        </is>
      </c>
    </row>
    <row r="22">
      <c r="A22" s="31" t="n">
        <v>18</v>
      </c>
      <c r="B22" s="39" t="inlineStr">
        <is>
          <t>Payout equation A+B+C+D+E+F = G (net payout)</t>
        </is>
      </c>
      <c r="C22" s="31" t="inlineStr">
        <is>
          <t>06 – 12 Sep</t>
        </is>
      </c>
      <c r="D22" s="32" t="n">
        <v>7479.09</v>
      </c>
      <c r="E22" s="32" t="n">
        <v>7479.13</v>
      </c>
      <c r="F22" s="32" t="n">
        <v>0.04</v>
      </c>
      <c r="G22" s="40" t="inlineStr">
        <is>
          <t>OK</t>
        </is>
      </c>
    </row>
    <row r="23">
      <c r="A23" s="31" t="n">
        <v>19</v>
      </c>
      <c r="B23" s="39" t="inlineStr">
        <is>
          <t>Delivered + cancelled + ads = total net payout</t>
        </is>
      </c>
      <c r="C23" s="31" t="inlineStr">
        <is>
          <t>06 – 12 Sep</t>
        </is>
      </c>
      <c r="D23" s="32" t="n">
        <v>7479.09</v>
      </c>
      <c r="E23" s="32" t="n">
        <v>7479.09</v>
      </c>
      <c r="F23" s="32" t="n">
        <v>0</v>
      </c>
      <c r="G23" s="40" t="inlineStr">
        <is>
          <t>OK</t>
        </is>
      </c>
    </row>
    <row r="24">
      <c r="A24" s="31" t="n">
        <v>20</v>
      </c>
      <c r="B24" s="39" t="inlineStr">
        <is>
          <t>Net payout = 'Total Payout' printed on the Summary sheet</t>
        </is>
      </c>
      <c r="C24" s="31" t="inlineStr">
        <is>
          <t>06 – 12 Sep</t>
        </is>
      </c>
      <c r="D24" s="32" t="n">
        <v>7479.09</v>
      </c>
      <c r="E24" s="32" t="n">
        <v>7479.09</v>
      </c>
      <c r="F24" s="32" t="n">
        <v>0</v>
      </c>
      <c r="G24" s="40" t="inlineStr">
        <is>
          <t>OK</t>
        </is>
      </c>
    </row>
    <row r="25">
      <c r="A25" s="31" t="n">
        <v>21</v>
      </c>
      <c r="B25" s="39" t="inlineStr">
        <is>
          <t>Order rows = 'Total Orders' printed on the Summary sheet</t>
        </is>
      </c>
      <c r="C25" s="31" t="inlineStr">
        <is>
          <t>06 – 12 Sep</t>
        </is>
      </c>
      <c r="D25" s="31" t="n">
        <v>25</v>
      </c>
      <c r="E25" s="31" t="n">
        <v>25</v>
      </c>
      <c r="F25" s="31" t="n">
        <v>0</v>
      </c>
      <c r="G25" s="40" t="inlineStr">
        <is>
          <t>OK</t>
        </is>
      </c>
    </row>
    <row r="26">
      <c r="A26" s="31" t="n">
        <v>22</v>
      </c>
      <c r="B26" s="39" t="inlineStr">
        <is>
          <t>GST collected = 5% of the billed value (memo, before the cancellation adjustment)</t>
        </is>
      </c>
      <c r="C26" s="31" t="inlineStr">
        <is>
          <t>06 – 12 Sep</t>
        </is>
      </c>
      <c r="D26" s="32" t="n">
        <v>572.25</v>
      </c>
      <c r="E26" s="32" t="n">
        <v>572.28</v>
      </c>
      <c r="F26" s="32" t="n">
        <v>0.03</v>
      </c>
      <c r="G26" s="40" t="inlineStr">
        <is>
          <t>OK</t>
        </is>
      </c>
    </row>
    <row r="27">
      <c r="A27" s="31" t="n">
        <v>23</v>
      </c>
      <c r="B27" s="39" t="inlineStr">
        <is>
          <t>TDS u/s 194-O vs 0.1% of item total</t>
        </is>
      </c>
      <c r="C27" s="31" t="inlineStr">
        <is>
          <t>06 – 12 Sep</t>
        </is>
      </c>
      <c r="D27" s="32" t="n">
        <v>11.45</v>
      </c>
      <c r="E27" s="32" t="n">
        <v>11.46</v>
      </c>
      <c r="F27" s="32" t="n">
        <v>0.01</v>
      </c>
      <c r="G27" s="40" t="inlineStr">
        <is>
          <t>OK</t>
        </is>
      </c>
    </row>
    <row r="28">
      <c r="A28" s="31" t="n">
        <v>24</v>
      </c>
      <c r="B28" s="39" t="inlineStr">
        <is>
          <t>GST discharged by Swiggy = 5% of compensation-adjusted reportable value</t>
        </is>
      </c>
      <c r="C28" s="31" t="inlineStr">
        <is>
          <t>06 – 12 Sep</t>
        </is>
      </c>
      <c r="D28" s="32" t="n">
        <v>572.25</v>
      </c>
      <c r="E28" s="32" t="n">
        <v>572.25</v>
      </c>
      <c r="F28" s="32" t="n">
        <v>0</v>
      </c>
      <c r="G28" s="40" t="inlineStr">
        <is>
          <t>OK</t>
        </is>
      </c>
    </row>
    <row r="29">
      <c r="A29" s="31" t="n">
        <v>25</v>
      </c>
      <c r="B29" s="39" t="inlineStr">
        <is>
          <t>GST collected from customers vs GST discharged by Swiggy — explained</t>
        </is>
      </c>
      <c r="C29" s="31" t="inlineStr">
        <is>
          <t>06 – 12 Sep</t>
        </is>
      </c>
      <c r="D29" s="32" t="n">
        <v>0</v>
      </c>
      <c r="E29" s="32" t="n">
        <v>0.03</v>
      </c>
      <c r="F29" s="32" t="n">
        <v>0.03</v>
      </c>
      <c r="G29" s="41" t="inlineStr">
        <is>
          <t>EXPLAINED</t>
        </is>
      </c>
    </row>
    <row r="30">
      <c r="A30" s="31" t="n">
        <v>26</v>
      </c>
      <c r="B30" s="39" t="inlineStr">
        <is>
          <t>TCS u/s 52 deducted</t>
        </is>
      </c>
      <c r="C30" s="31" t="inlineStr">
        <is>
          <t>06 – 12 Sep</t>
        </is>
      </c>
      <c r="D30" s="32" t="n">
        <v>0</v>
      </c>
      <c r="E30" s="32" t="n">
        <v>0</v>
      </c>
      <c r="F30" s="32" t="n">
        <v>0</v>
      </c>
      <c r="G30" s="40" t="inlineStr">
        <is>
          <t>OK</t>
        </is>
      </c>
    </row>
    <row r="31">
      <c r="A31" s="31" t="n">
        <v>27</v>
      </c>
      <c r="B31" s="39" t="inlineStr">
        <is>
          <t>Order-level rows = orders in payout breakup = stated total orders</t>
        </is>
      </c>
      <c r="C31" s="31" t="inlineStr">
        <is>
          <t>13 – 19 Sep</t>
        </is>
      </c>
      <c r="D31" s="31" t="n">
        <v>24</v>
      </c>
      <c r="E31" s="31" t="n">
        <v>24</v>
      </c>
      <c r="F31" s="31" t="n">
        <v>0</v>
      </c>
      <c r="G31" s="40" t="inlineStr">
        <is>
          <t>OK</t>
        </is>
      </c>
    </row>
    <row r="32">
      <c r="A32" s="31" t="n">
        <v>28</v>
      </c>
      <c r="B32" s="39" t="inlineStr">
        <is>
          <t>Total customer paid (order level) = payout breakup line A</t>
        </is>
      </c>
      <c r="C32" s="31" t="inlineStr">
        <is>
          <t>13 – 19 Sep</t>
        </is>
      </c>
      <c r="D32" s="32" t="n">
        <v>13172.28</v>
      </c>
      <c r="E32" s="32" t="n">
        <v>13172.28</v>
      </c>
      <c r="F32" s="32" t="n">
        <v>0</v>
      </c>
      <c r="G32" s="40" t="inlineStr">
        <is>
          <t>OK</t>
        </is>
      </c>
    </row>
    <row r="33">
      <c r="A33" s="31" t="n">
        <v>29</v>
      </c>
      <c r="B33" s="39" t="inlineStr">
        <is>
          <t>GST collected (order level) = payout breakup line 5</t>
        </is>
      </c>
      <c r="C33" s="31" t="inlineStr">
        <is>
          <t>13 – 19 Sep</t>
        </is>
      </c>
      <c r="D33" s="32" t="n">
        <v>627.28</v>
      </c>
      <c r="E33" s="32" t="n">
        <v>627.28</v>
      </c>
      <c r="F33" s="32" t="n">
        <v>0</v>
      </c>
      <c r="G33" s="40" t="inlineStr">
        <is>
          <t>OK</t>
        </is>
      </c>
    </row>
    <row r="34">
      <c r="A34" s="31" t="n">
        <v>30</v>
      </c>
      <c r="B34" s="39" t="inlineStr">
        <is>
          <t>Net payout (order level) = payout breakup G delivered + cancelled</t>
        </is>
      </c>
      <c r="C34" s="31" t="inlineStr">
        <is>
          <t>13 – 19 Sep</t>
        </is>
      </c>
      <c r="D34" s="32" t="n">
        <v>8193.67</v>
      </c>
      <c r="E34" s="32" t="n">
        <v>8193.67</v>
      </c>
      <c r="F34" s="32" t="n">
        <v>0</v>
      </c>
      <c r="G34" s="40" t="inlineStr">
        <is>
          <t>OK</t>
        </is>
      </c>
    </row>
    <row r="35">
      <c r="A35" s="31" t="n">
        <v>31</v>
      </c>
      <c r="B35" s="39" t="inlineStr">
        <is>
          <t>Payout equation A+B+C+D+E+F = G (net payout)</t>
        </is>
      </c>
      <c r="C35" s="31" t="inlineStr">
        <is>
          <t>13 – 19 Sep</t>
        </is>
      </c>
      <c r="D35" s="32" t="n">
        <v>8023.46</v>
      </c>
      <c r="E35" s="32" t="n">
        <v>8023.29</v>
      </c>
      <c r="F35" s="32" t="n">
        <v>-0.17</v>
      </c>
      <c r="G35" s="40" t="inlineStr">
        <is>
          <t>OK</t>
        </is>
      </c>
    </row>
    <row r="36">
      <c r="A36" s="31" t="n">
        <v>32</v>
      </c>
      <c r="B36" s="39" t="inlineStr">
        <is>
          <t>Delivered + cancelled + ads = total net payout</t>
        </is>
      </c>
      <c r="C36" s="31" t="inlineStr">
        <is>
          <t>13 – 19 Sep</t>
        </is>
      </c>
      <c r="D36" s="32" t="n">
        <v>8023.46</v>
      </c>
      <c r="E36" s="32" t="n">
        <v>8023.46</v>
      </c>
      <c r="F36" s="32" t="n">
        <v>0</v>
      </c>
      <c r="G36" s="40" t="inlineStr">
        <is>
          <t>OK</t>
        </is>
      </c>
    </row>
    <row r="37">
      <c r="A37" s="31" t="n">
        <v>33</v>
      </c>
      <c r="B37" s="39" t="inlineStr">
        <is>
          <t>Net payout = 'Total Payout' printed on the Summary sheet</t>
        </is>
      </c>
      <c r="C37" s="31" t="inlineStr">
        <is>
          <t>13 – 19 Sep</t>
        </is>
      </c>
      <c r="D37" s="32" t="n">
        <v>8023.46</v>
      </c>
      <c r="E37" s="32" t="n">
        <v>8023.46</v>
      </c>
      <c r="F37" s="32" t="n">
        <v>0</v>
      </c>
      <c r="G37" s="40" t="inlineStr">
        <is>
          <t>OK</t>
        </is>
      </c>
    </row>
    <row r="38">
      <c r="A38" s="31" t="n">
        <v>34</v>
      </c>
      <c r="B38" s="39" t="inlineStr">
        <is>
          <t>Order rows = 'Total Orders' printed on the Summary sheet</t>
        </is>
      </c>
      <c r="C38" s="31" t="inlineStr">
        <is>
          <t>13 – 19 Sep</t>
        </is>
      </c>
      <c r="D38" s="31" t="n">
        <v>24</v>
      </c>
      <c r="E38" s="31" t="n">
        <v>24</v>
      </c>
      <c r="F38" s="31" t="n">
        <v>0</v>
      </c>
      <c r="G38" s="40" t="inlineStr">
        <is>
          <t>OK</t>
        </is>
      </c>
    </row>
    <row r="39">
      <c r="A39" s="31" t="n">
        <v>35</v>
      </c>
      <c r="B39" s="39" t="inlineStr">
        <is>
          <t>GST collected = 5% of the billed value (memo, before the cancellation adjustment)</t>
        </is>
      </c>
      <c r="C39" s="31" t="inlineStr">
        <is>
          <t>13 – 19 Sep</t>
        </is>
      </c>
      <c r="D39" s="32" t="n">
        <v>627.25</v>
      </c>
      <c r="E39" s="32" t="n">
        <v>627.28</v>
      </c>
      <c r="F39" s="32" t="n">
        <v>0.03</v>
      </c>
      <c r="G39" s="40" t="inlineStr">
        <is>
          <t>OK</t>
        </is>
      </c>
    </row>
    <row r="40">
      <c r="A40" s="31" t="n">
        <v>36</v>
      </c>
      <c r="B40" s="39" t="inlineStr">
        <is>
          <t>TDS u/s 194-O vs 0.1% of item total</t>
        </is>
      </c>
      <c r="C40" s="31" t="inlineStr">
        <is>
          <t>13 – 19 Sep</t>
        </is>
      </c>
      <c r="D40" s="32" t="n">
        <v>12.54</v>
      </c>
      <c r="E40" s="32" t="n">
        <v>12.54</v>
      </c>
      <c r="F40" s="32" t="n">
        <v>0</v>
      </c>
      <c r="G40" s="40" t="inlineStr">
        <is>
          <t>OK</t>
        </is>
      </c>
    </row>
    <row r="41">
      <c r="A41" s="31" t="n">
        <v>37</v>
      </c>
      <c r="B41" s="39" t="inlineStr">
        <is>
          <t>GST discharged by Swiggy = 5% of compensation-adjusted reportable value</t>
        </is>
      </c>
      <c r="C41" s="31" t="inlineStr">
        <is>
          <t>13 – 19 Sep</t>
        </is>
      </c>
      <c r="D41" s="32" t="n">
        <v>627.25</v>
      </c>
      <c r="E41" s="32" t="n">
        <v>627.25</v>
      </c>
      <c r="F41" s="32" t="n">
        <v>0</v>
      </c>
      <c r="G41" s="40" t="inlineStr">
        <is>
          <t>OK</t>
        </is>
      </c>
    </row>
    <row r="42">
      <c r="A42" s="31" t="n">
        <v>38</v>
      </c>
      <c r="B42" s="39" t="inlineStr">
        <is>
          <t>GST collected from customers vs GST discharged by Swiggy — explained</t>
        </is>
      </c>
      <c r="C42" s="31" t="inlineStr">
        <is>
          <t>13 – 19 Sep</t>
        </is>
      </c>
      <c r="D42" s="32" t="n">
        <v>0</v>
      </c>
      <c r="E42" s="32" t="n">
        <v>0.03</v>
      </c>
      <c r="F42" s="32" t="n">
        <v>0.03</v>
      </c>
      <c r="G42" s="41" t="inlineStr">
        <is>
          <t>EXPLAINED</t>
        </is>
      </c>
    </row>
    <row r="43">
      <c r="A43" s="31" t="n">
        <v>39</v>
      </c>
      <c r="B43" s="39" t="inlineStr">
        <is>
          <t>TCS u/s 52 deducted</t>
        </is>
      </c>
      <c r="C43" s="31" t="inlineStr">
        <is>
          <t>13 – 19 Sep</t>
        </is>
      </c>
      <c r="D43" s="32" t="n">
        <v>0</v>
      </c>
      <c r="E43" s="32" t="n">
        <v>0</v>
      </c>
      <c r="F43" s="32" t="n">
        <v>0</v>
      </c>
      <c r="G43" s="40" t="inlineStr">
        <is>
          <t>OK</t>
        </is>
      </c>
    </row>
    <row r="44">
      <c r="A44" s="31" t="n">
        <v>40</v>
      </c>
      <c r="B44" s="39" t="inlineStr">
        <is>
          <t>Order-level rows = orders in payout breakup = stated total orders</t>
        </is>
      </c>
      <c r="C44" s="31" t="inlineStr">
        <is>
          <t>20 – 26 Sep</t>
        </is>
      </c>
      <c r="D44" s="31" t="n">
        <v>10</v>
      </c>
      <c r="E44" s="31" t="n">
        <v>10</v>
      </c>
      <c r="F44" s="31" t="n">
        <v>0</v>
      </c>
      <c r="G44" s="40" t="inlineStr">
        <is>
          <t>OK</t>
        </is>
      </c>
    </row>
    <row r="45">
      <c r="A45" s="31" t="n">
        <v>41</v>
      </c>
      <c r="B45" s="39" t="inlineStr">
        <is>
          <t>Total customer paid (order level) = payout breakup line A</t>
        </is>
      </c>
      <c r="C45" s="31" t="inlineStr">
        <is>
          <t>20 – 26 Sep</t>
        </is>
      </c>
      <c r="D45" s="32" t="n">
        <v>4875.51</v>
      </c>
      <c r="E45" s="32" t="n">
        <v>4875.51</v>
      </c>
      <c r="F45" s="32" t="n">
        <v>0</v>
      </c>
      <c r="G45" s="40" t="inlineStr">
        <is>
          <t>OK</t>
        </is>
      </c>
    </row>
    <row r="46">
      <c r="A46" s="31" t="n">
        <v>42</v>
      </c>
      <c r="B46" s="39" t="inlineStr">
        <is>
          <t>GST collected (order level) = payout breakup line 5</t>
        </is>
      </c>
      <c r="C46" s="31" t="inlineStr">
        <is>
          <t>20 – 26 Sep</t>
        </is>
      </c>
      <c r="D46" s="32" t="n">
        <v>232.18</v>
      </c>
      <c r="E46" s="32" t="n">
        <v>232.18</v>
      </c>
      <c r="F46" s="32" t="n">
        <v>0</v>
      </c>
      <c r="G46" s="40" t="inlineStr">
        <is>
          <t>OK</t>
        </is>
      </c>
    </row>
    <row r="47">
      <c r="A47" s="31" t="n">
        <v>43</v>
      </c>
      <c r="B47" s="39" t="inlineStr">
        <is>
          <t>Net payout (order level) = payout breakup G delivered + cancelled</t>
        </is>
      </c>
      <c r="C47" s="31" t="inlineStr">
        <is>
          <t>20 – 26 Sep</t>
        </is>
      </c>
      <c r="D47" s="32" t="n">
        <v>3142.87</v>
      </c>
      <c r="E47" s="32" t="n">
        <v>3142.87</v>
      </c>
      <c r="F47" s="32" t="n">
        <v>0</v>
      </c>
      <c r="G47" s="40" t="inlineStr">
        <is>
          <t>OK</t>
        </is>
      </c>
    </row>
    <row r="48">
      <c r="A48" s="31" t="n">
        <v>44</v>
      </c>
      <c r="B48" s="39" t="inlineStr">
        <is>
          <t>Payout equation A+B+C+D+E+F = G (net payout)</t>
        </is>
      </c>
      <c r="C48" s="31" t="inlineStr">
        <is>
          <t>20 – 26 Sep</t>
        </is>
      </c>
      <c r="D48" s="32" t="n">
        <v>2972.66</v>
      </c>
      <c r="E48" s="32" t="n">
        <v>2972.67</v>
      </c>
      <c r="F48" s="32" t="n">
        <v>0.01</v>
      </c>
      <c r="G48" s="40" t="inlineStr">
        <is>
          <t>OK</t>
        </is>
      </c>
    </row>
    <row r="49">
      <c r="A49" s="31" t="n">
        <v>45</v>
      </c>
      <c r="B49" s="39" t="inlineStr">
        <is>
          <t>Delivered + cancelled + ads = total net payout</t>
        </is>
      </c>
      <c r="C49" s="31" t="inlineStr">
        <is>
          <t>20 – 26 Sep</t>
        </is>
      </c>
      <c r="D49" s="32" t="n">
        <v>2972.66</v>
      </c>
      <c r="E49" s="32" t="n">
        <v>2972.66</v>
      </c>
      <c r="F49" s="32" t="n">
        <v>0</v>
      </c>
      <c r="G49" s="40" t="inlineStr">
        <is>
          <t>OK</t>
        </is>
      </c>
    </row>
    <row r="50">
      <c r="A50" s="31" t="n">
        <v>46</v>
      </c>
      <c r="B50" s="39" t="inlineStr">
        <is>
          <t>Net payout = 'Total Payout' printed on the Summary sheet</t>
        </is>
      </c>
      <c r="C50" s="31" t="inlineStr">
        <is>
          <t>20 – 26 Sep</t>
        </is>
      </c>
      <c r="D50" s="32" t="n">
        <v>2972.66</v>
      </c>
      <c r="E50" s="32" t="n">
        <v>2972.66</v>
      </c>
      <c r="F50" s="32" t="n">
        <v>0</v>
      </c>
      <c r="G50" s="40" t="inlineStr">
        <is>
          <t>OK</t>
        </is>
      </c>
    </row>
    <row r="51">
      <c r="A51" s="31" t="n">
        <v>47</v>
      </c>
      <c r="B51" s="39" t="inlineStr">
        <is>
          <t>Order rows = 'Total Orders' printed on the Summary sheet</t>
        </is>
      </c>
      <c r="C51" s="31" t="inlineStr">
        <is>
          <t>20 – 26 Sep</t>
        </is>
      </c>
      <c r="D51" s="31" t="n">
        <v>10</v>
      </c>
      <c r="E51" s="31" t="n">
        <v>10</v>
      </c>
      <c r="F51" s="31" t="n">
        <v>0</v>
      </c>
      <c r="G51" s="40" t="inlineStr">
        <is>
          <t>OK</t>
        </is>
      </c>
    </row>
    <row r="52">
      <c r="A52" s="31" t="n">
        <v>48</v>
      </c>
      <c r="B52" s="39" t="inlineStr">
        <is>
          <t>GST collected = 5% of the billed value (memo, before the cancellation adjustment)</t>
        </is>
      </c>
      <c r="C52" s="31" t="inlineStr">
        <is>
          <t>20 – 26 Sep</t>
        </is>
      </c>
      <c r="D52" s="32" t="n">
        <v>232.17</v>
      </c>
      <c r="E52" s="32" t="n">
        <v>232.18</v>
      </c>
      <c r="F52" s="32" t="n">
        <v>0.01</v>
      </c>
      <c r="G52" s="40" t="inlineStr">
        <is>
          <t>OK</t>
        </is>
      </c>
    </row>
    <row r="53">
      <c r="A53" s="31" t="n">
        <v>49</v>
      </c>
      <c r="B53" s="39" t="inlineStr">
        <is>
          <t>TDS u/s 194-O vs 0.1% of item total</t>
        </is>
      </c>
      <c r="C53" s="31" t="inlineStr">
        <is>
          <t>20 – 26 Sep</t>
        </is>
      </c>
      <c r="D53" s="32" t="n">
        <v>4.64</v>
      </c>
      <c r="E53" s="32" t="n">
        <v>4.65</v>
      </c>
      <c r="F53" s="32" t="n">
        <v>0.01</v>
      </c>
      <c r="G53" s="40" t="inlineStr">
        <is>
          <t>OK</t>
        </is>
      </c>
    </row>
    <row r="54">
      <c r="A54" s="31" t="n">
        <v>50</v>
      </c>
      <c r="B54" s="39" t="inlineStr">
        <is>
          <t>GST discharged by Swiggy = 5% of compensation-adjusted reportable value</t>
        </is>
      </c>
      <c r="C54" s="31" t="inlineStr">
        <is>
          <t>20 – 26 Sep</t>
        </is>
      </c>
      <c r="D54" s="32" t="n">
        <v>232.17</v>
      </c>
      <c r="E54" s="32" t="n">
        <v>232.17</v>
      </c>
      <c r="F54" s="32" t="n">
        <v>0</v>
      </c>
      <c r="G54" s="40" t="inlineStr">
        <is>
          <t>OK</t>
        </is>
      </c>
    </row>
    <row r="55">
      <c r="A55" s="31" t="n">
        <v>51</v>
      </c>
      <c r="B55" s="39" t="inlineStr">
        <is>
          <t>GST collected from customers vs GST discharged by Swiggy — explained</t>
        </is>
      </c>
      <c r="C55" s="31" t="inlineStr">
        <is>
          <t>20 – 26 Sep</t>
        </is>
      </c>
      <c r="D55" s="32" t="n">
        <v>0</v>
      </c>
      <c r="E55" s="32" t="n">
        <v>0.01</v>
      </c>
      <c r="F55" s="32" t="n">
        <v>0.01</v>
      </c>
      <c r="G55" s="40" t="inlineStr">
        <is>
          <t>OK</t>
        </is>
      </c>
    </row>
    <row r="56">
      <c r="A56" s="31" t="n">
        <v>52</v>
      </c>
      <c r="B56" s="39" t="inlineStr">
        <is>
          <t>TCS u/s 52 deducted</t>
        </is>
      </c>
      <c r="C56" s="31" t="inlineStr">
        <is>
          <t>20 – 26 Sep</t>
        </is>
      </c>
      <c r="D56" s="32" t="n">
        <v>0</v>
      </c>
      <c r="E56" s="32" t="n">
        <v>0</v>
      </c>
      <c r="F56" s="32" t="n">
        <v>0</v>
      </c>
      <c r="G56" s="40" t="inlineStr">
        <is>
          <t>OK</t>
        </is>
      </c>
    </row>
    <row r="57">
      <c r="A57" s="31" t="n">
        <v>53</v>
      </c>
      <c r="B57" s="39" t="inlineStr">
        <is>
          <t>Order-level rows = orders in payout breakup = stated total orders</t>
        </is>
      </c>
      <c r="C57" s="31" t="inlineStr">
        <is>
          <t>27 – 30 Sep</t>
        </is>
      </c>
      <c r="D57" s="31" t="n">
        <v>17</v>
      </c>
      <c r="E57" s="31" t="n">
        <v>17</v>
      </c>
      <c r="F57" s="31" t="n">
        <v>0</v>
      </c>
      <c r="G57" s="40" t="inlineStr">
        <is>
          <t>OK</t>
        </is>
      </c>
    </row>
    <row r="58">
      <c r="A58" s="31" t="n">
        <v>54</v>
      </c>
      <c r="B58" s="39" t="inlineStr">
        <is>
          <t>Total customer paid (order level) = payout breakup line A</t>
        </is>
      </c>
      <c r="C58" s="31" t="inlineStr">
        <is>
          <t>27 – 30 Sep</t>
        </is>
      </c>
      <c r="D58" s="32" t="n">
        <v>7476</v>
      </c>
      <c r="E58" s="32" t="n">
        <v>7476</v>
      </c>
      <c r="F58" s="32" t="n">
        <v>0</v>
      </c>
      <c r="G58" s="40" t="inlineStr">
        <is>
          <t>OK</t>
        </is>
      </c>
    </row>
    <row r="59">
      <c r="A59" s="31" t="n">
        <v>55</v>
      </c>
      <c r="B59" s="39" t="inlineStr">
        <is>
          <t>GST collected (order level) = payout breakup line 5</t>
        </is>
      </c>
      <c r="C59" s="31" t="inlineStr">
        <is>
          <t>27 – 30 Sep</t>
        </is>
      </c>
      <c r="D59" s="32" t="n">
        <v>356</v>
      </c>
      <c r="E59" s="32" t="n">
        <v>356</v>
      </c>
      <c r="F59" s="32" t="n">
        <v>0</v>
      </c>
      <c r="G59" s="40" t="inlineStr">
        <is>
          <t>OK</t>
        </is>
      </c>
    </row>
    <row r="60">
      <c r="A60" s="31" t="n">
        <v>56</v>
      </c>
      <c r="B60" s="39" t="inlineStr">
        <is>
          <t>Net payout (order level) = payout breakup G delivered + cancelled</t>
        </is>
      </c>
      <c r="C60" s="31" t="inlineStr">
        <is>
          <t>27 – 30 Sep</t>
        </is>
      </c>
      <c r="D60" s="32" t="n">
        <v>4819.24</v>
      </c>
      <c r="E60" s="32" t="n">
        <v>4819.24</v>
      </c>
      <c r="F60" s="32" t="n">
        <v>0</v>
      </c>
      <c r="G60" s="40" t="inlineStr">
        <is>
          <t>OK</t>
        </is>
      </c>
    </row>
    <row r="61">
      <c r="A61" s="31" t="n">
        <v>57</v>
      </c>
      <c r="B61" s="39" t="inlineStr">
        <is>
          <t>Payout equation A+B+C+D+E+F = G (net payout)</t>
        </is>
      </c>
      <c r="C61" s="31" t="inlineStr">
        <is>
          <t>27 – 30 Sep</t>
        </is>
      </c>
      <c r="D61" s="32" t="n">
        <v>4819.24</v>
      </c>
      <c r="E61" s="32" t="n">
        <v>4819.24</v>
      </c>
      <c r="F61" s="32" t="n">
        <v>0</v>
      </c>
      <c r="G61" s="40" t="inlineStr">
        <is>
          <t>OK</t>
        </is>
      </c>
    </row>
    <row r="62">
      <c r="A62" s="31" t="n">
        <v>58</v>
      </c>
      <c r="B62" s="39" t="inlineStr">
        <is>
          <t>Delivered + cancelled + ads = total net payout</t>
        </is>
      </c>
      <c r="C62" s="31" t="inlineStr">
        <is>
          <t>27 – 30 Sep</t>
        </is>
      </c>
      <c r="D62" s="32" t="n">
        <v>4819.24</v>
      </c>
      <c r="E62" s="32" t="n">
        <v>4819.24</v>
      </c>
      <c r="F62" s="32" t="n">
        <v>0</v>
      </c>
      <c r="G62" s="40" t="inlineStr">
        <is>
          <t>OK</t>
        </is>
      </c>
    </row>
    <row r="63">
      <c r="A63" s="31" t="n">
        <v>59</v>
      </c>
      <c r="B63" s="39" t="inlineStr">
        <is>
          <t>Net payout = 'Total Payout' printed on the Summary sheet</t>
        </is>
      </c>
      <c r="C63" s="31" t="inlineStr">
        <is>
          <t>27 – 30 Sep</t>
        </is>
      </c>
      <c r="D63" s="32" t="n">
        <v>4819.24</v>
      </c>
      <c r="E63" s="32" t="n">
        <v>4819.24</v>
      </c>
      <c r="F63" s="32" t="n">
        <v>0</v>
      </c>
      <c r="G63" s="40" t="inlineStr">
        <is>
          <t>OK</t>
        </is>
      </c>
    </row>
    <row r="64">
      <c r="A64" s="31" t="n">
        <v>60</v>
      </c>
      <c r="B64" s="39" t="inlineStr">
        <is>
          <t>Order rows = 'Total Orders' printed on the Summary sheet</t>
        </is>
      </c>
      <c r="C64" s="31" t="inlineStr">
        <is>
          <t>27 – 30 Sep</t>
        </is>
      </c>
      <c r="D64" s="31" t="n">
        <v>17</v>
      </c>
      <c r="E64" s="31" t="n">
        <v>17</v>
      </c>
      <c r="F64" s="31" t="n">
        <v>0</v>
      </c>
      <c r="G64" s="40" t="inlineStr">
        <is>
          <t>OK</t>
        </is>
      </c>
    </row>
    <row r="65">
      <c r="A65" s="31" t="n">
        <v>61</v>
      </c>
      <c r="B65" s="39" t="inlineStr">
        <is>
          <t>GST collected = 5% of the billed value (memo, before the cancellation adjustment)</t>
        </is>
      </c>
      <c r="C65" s="31" t="inlineStr">
        <is>
          <t>27 – 30 Sep</t>
        </is>
      </c>
      <c r="D65" s="32" t="n">
        <v>356</v>
      </c>
      <c r="E65" s="32" t="n">
        <v>356</v>
      </c>
      <c r="F65" s="32" t="n">
        <v>0</v>
      </c>
      <c r="G65" s="40" t="inlineStr">
        <is>
          <t>OK</t>
        </is>
      </c>
    </row>
    <row r="66">
      <c r="A66" s="31" t="n">
        <v>62</v>
      </c>
      <c r="B66" s="39" t="inlineStr">
        <is>
          <t>TDS u/s 194-O vs 0.1% of item total</t>
        </is>
      </c>
      <c r="C66" s="31" t="inlineStr">
        <is>
          <t>27 – 30 Sep</t>
        </is>
      </c>
      <c r="D66" s="32" t="n">
        <v>7.12</v>
      </c>
      <c r="E66" s="32" t="n">
        <v>7.12</v>
      </c>
      <c r="F66" s="32" t="n">
        <v>0</v>
      </c>
      <c r="G66" s="40" t="inlineStr">
        <is>
          <t>OK</t>
        </is>
      </c>
    </row>
    <row r="67">
      <c r="A67" s="31" t="n">
        <v>63</v>
      </c>
      <c r="B67" s="39" t="inlineStr">
        <is>
          <t>GST discharged by Swiggy = 5% of compensation-adjusted reportable value</t>
        </is>
      </c>
      <c r="C67" s="31" t="inlineStr">
        <is>
          <t>27 – 30 Sep</t>
        </is>
      </c>
      <c r="D67" s="32" t="n">
        <v>356</v>
      </c>
      <c r="E67" s="32" t="n">
        <v>356</v>
      </c>
      <c r="F67" s="32" t="n">
        <v>0</v>
      </c>
      <c r="G67" s="40" t="inlineStr">
        <is>
          <t>OK</t>
        </is>
      </c>
    </row>
    <row r="68">
      <c r="A68" s="31" t="n">
        <v>64</v>
      </c>
      <c r="B68" s="39" t="inlineStr">
        <is>
          <t>GST collected from customers vs GST discharged by Swiggy — explained</t>
        </is>
      </c>
      <c r="C68" s="31" t="inlineStr">
        <is>
          <t>27 – 30 Sep</t>
        </is>
      </c>
      <c r="D68" s="32" t="n">
        <v>0</v>
      </c>
      <c r="E68" s="32" t="n">
        <v>0</v>
      </c>
      <c r="F68" s="32" t="n">
        <v>0</v>
      </c>
      <c r="G68" s="40" t="inlineStr">
        <is>
          <t>OK</t>
        </is>
      </c>
    </row>
    <row r="69">
      <c r="A69" s="31" t="n">
        <v>65</v>
      </c>
      <c r="B69" s="39" t="inlineStr">
        <is>
          <t>TCS u/s 52 deducted</t>
        </is>
      </c>
      <c r="C69" s="31" t="inlineStr">
        <is>
          <t>27 – 30 Sep</t>
        </is>
      </c>
      <c r="D69" s="32" t="n">
        <v>0</v>
      </c>
      <c r="E69" s="32" t="n">
        <v>0</v>
      </c>
      <c r="F69" s="32" t="n">
        <v>0</v>
      </c>
      <c r="G69" s="40" t="inlineStr">
        <is>
          <t>OK</t>
        </is>
      </c>
    </row>
    <row r="70">
      <c r="A70" s="31" t="n">
        <v>66</v>
      </c>
      <c r="B70" s="39" t="inlineStr">
        <is>
          <t>Compensation + un-compensated deduction = amount paid by the customer</t>
        </is>
      </c>
      <c r="C70" s="31" t="inlineStr">
        <is>
          <t>01 – 05 Sep · 247576408124202</t>
        </is>
      </c>
      <c r="D70" s="32" t="n">
        <v>619.5</v>
      </c>
      <c r="E70" s="32" t="n">
        <v>619.5</v>
      </c>
      <c r="F70" s="32" t="n">
        <v>0</v>
      </c>
      <c r="G70" s="40" t="inlineStr">
        <is>
          <t>OK</t>
        </is>
      </c>
    </row>
    <row r="71">
      <c r="A71" s="31" t="n">
        <v>67</v>
      </c>
      <c r="B71" s="39" t="inlineStr">
        <is>
          <t>Compensation + un-compensated value = net bill value</t>
        </is>
      </c>
      <c r="C71" s="31" t="inlineStr">
        <is>
          <t>01 – 05 Sep · 247576408124202</t>
        </is>
      </c>
      <c r="D71" s="32" t="n">
        <v>590</v>
      </c>
      <c r="E71" s="32" t="n">
        <v>590</v>
      </c>
      <c r="F71" s="32" t="n">
        <v>0</v>
      </c>
      <c r="G71" s="40" t="inlineStr">
        <is>
          <t>OK</t>
        </is>
      </c>
    </row>
    <row r="72">
      <c r="A72" s="31" t="n">
        <v>68</v>
      </c>
      <c r="B72" s="39" t="inlineStr">
        <is>
          <t>Complaint &amp; cancellation charges = un-compensated 20% + 5% GST (₹118.00 × 1.05)</t>
        </is>
      </c>
      <c r="C72" s="31" t="inlineStr">
        <is>
          <t>01 – 05 Sep · 247576408124202</t>
        </is>
      </c>
      <c r="D72" s="32" t="n">
        <v>123.9</v>
      </c>
      <c r="E72" s="32" t="n">
        <v>123.9</v>
      </c>
      <c r="F72" s="32" t="n">
        <v>0</v>
      </c>
      <c r="G72" s="40" t="inlineStr">
        <is>
          <t>OK</t>
        </is>
      </c>
    </row>
    <row r="73">
      <c r="A73" s="31" t="n">
        <v>69</v>
      </c>
      <c r="B73" s="39" t="inlineStr">
        <is>
          <t>GST collected = GST discharged + GST on the un-compensated 20%</t>
        </is>
      </c>
      <c r="C73" s="31" t="inlineStr">
        <is>
          <t>01 – 05 Sep · 247576408124202</t>
        </is>
      </c>
      <c r="D73" s="32" t="n">
        <v>29.5</v>
      </c>
      <c r="E73" s="32" t="n">
        <v>29.5</v>
      </c>
      <c r="F73" s="32" t="n">
        <v>-0</v>
      </c>
      <c r="G73" s="40" t="inlineStr">
        <is>
          <t>OK</t>
        </is>
      </c>
    </row>
    <row r="74">
      <c r="A74" s="31" t="n">
        <v>70</v>
      </c>
      <c r="B74" s="39" t="inlineStr">
        <is>
          <t>Restaurant-cancelled order: no supply, no GST discharged on the food</t>
        </is>
      </c>
      <c r="C74" s="31" t="inlineStr">
        <is>
          <t>06 – 12 Sep · 248201907107833</t>
        </is>
      </c>
      <c r="D74" s="32" t="n">
        <v>0</v>
      </c>
      <c r="E74" s="32" t="n">
        <v>0</v>
      </c>
      <c r="F74" s="32" t="n">
        <v>0</v>
      </c>
      <c r="G74" s="40" t="inlineStr">
        <is>
          <t>OK</t>
        </is>
      </c>
    </row>
    <row r="75">
      <c r="A75" s="31" t="n">
        <v>71</v>
      </c>
      <c r="B75" s="39" t="inlineStr">
        <is>
          <t>Restaurant-cancelled order: no supply, no GST discharged on the food</t>
        </is>
      </c>
      <c r="C75" s="31" t="inlineStr">
        <is>
          <t>13 – 19 Sep · 248773805195420</t>
        </is>
      </c>
      <c r="D75" s="32" t="n">
        <v>0</v>
      </c>
      <c r="E75" s="32" t="n">
        <v>0</v>
      </c>
      <c r="F75" s="32" t="n">
        <v>0</v>
      </c>
      <c r="G75" s="40" t="inlineStr">
        <is>
          <t>OK</t>
        </is>
      </c>
    </row>
    <row r="76">
      <c r="A76" s="31" t="n">
        <v>72</v>
      </c>
      <c r="B76" s="39" t="inlineStr">
        <is>
          <t>Month: complaint &amp; cancellation charges (payout line C) = un-compensated 20% + 5% GST</t>
        </is>
      </c>
      <c r="C76" s="31" t="inlineStr">
        <is>
          <t>September 2026</t>
        </is>
      </c>
      <c r="D76" s="32" t="n">
        <v>123.9</v>
      </c>
      <c r="E76" s="32" t="n">
        <v>123.9</v>
      </c>
      <c r="F76" s="32" t="n">
        <v>0</v>
      </c>
      <c r="G76" s="40" t="inlineStr">
        <is>
          <t>OK</t>
        </is>
      </c>
    </row>
    <row r="77">
      <c r="A77" s="31" t="n">
        <v>73</v>
      </c>
      <c r="B77" s="39" t="inlineStr">
        <is>
          <t>Month: GST discharged = 5% of compensation-adjusted reportable value</t>
        </is>
      </c>
      <c r="C77" s="31" t="inlineStr">
        <is>
          <t>September 2026</t>
        </is>
      </c>
      <c r="D77" s="32" t="n">
        <v>2305.92</v>
      </c>
      <c r="E77" s="32" t="n">
        <v>2305.92</v>
      </c>
      <c r="F77" s="32" t="n">
        <v>0</v>
      </c>
      <c r="G77" s="40" t="inlineStr">
        <is>
          <t>OK</t>
        </is>
      </c>
    </row>
    <row r="78">
      <c r="A78" s="31" t="n">
        <v>74</v>
      </c>
      <c r="B78" s="39" t="inlineStr">
        <is>
          <t>Month: residual GST difference after the cancellation policy (pure paise rounding)</t>
        </is>
      </c>
      <c r="C78" s="31" t="inlineStr">
        <is>
          <t>September 2026</t>
        </is>
      </c>
      <c r="D78" s="32" t="n">
        <v>0</v>
      </c>
      <c r="E78" s="32" t="n">
        <v>0.12</v>
      </c>
      <c r="F78" s="32" t="n">
        <v>0.12</v>
      </c>
      <c r="G78" s="40" t="inlineStr">
        <is>
          <t>OK</t>
        </is>
      </c>
    </row>
    <row r="79">
      <c r="A79" s="31" t="n">
        <v>75</v>
      </c>
      <c r="B79" s="39" t="inlineStr">
        <is>
          <t>Order-wise net payout = customer paid − Swiggy fees − complaint/cancellation − taxes</t>
        </is>
      </c>
      <c r="C79" s="31" t="inlineStr">
        <is>
          <t>All 95 orders</t>
        </is>
      </c>
      <c r="D79" s="31" t="inlineStr">
        <is>
          <t>0 exceptions</t>
        </is>
      </c>
      <c r="E79" s="31" t="inlineStr">
        <is>
          <t>0 exceptions</t>
        </is>
      </c>
      <c r="F79" s="32" t="n">
        <v>0</v>
      </c>
      <c r="G79" s="40" t="inlineStr">
        <is>
          <t>OK</t>
        </is>
      </c>
    </row>
    <row r="80">
      <c r="A80" s="31" t="n">
        <v>76</v>
      </c>
      <c r="B80" s="39" t="inlineStr">
        <is>
          <t>Highest paise-level rounding inside the annexures (tolerated, not adjusted)</t>
        </is>
      </c>
      <c r="C80" s="31" t="inlineStr">
        <is>
          <t>All orders</t>
        </is>
      </c>
      <c r="D80" s="31" t="inlineStr">
        <is>
          <t>≤ ₹0.05</t>
        </is>
      </c>
      <c r="E80" s="31" t="inlineStr">
        <is>
          <t>₹0.03</t>
        </is>
      </c>
      <c r="F80" s="31" t="n"/>
      <c r="G80" s="40" t="inlineStr">
        <is>
          <t>OK</t>
        </is>
      </c>
    </row>
    <row r="81">
      <c r="A81" s="31" t="n">
        <v>77</v>
      </c>
      <c r="B81" s="39" t="inlineStr">
        <is>
          <t>Duplicate Order IDs across payout cycles</t>
        </is>
      </c>
      <c r="C81" s="31" t="inlineStr">
        <is>
          <t>All cycles</t>
        </is>
      </c>
      <c r="D81" s="31" t="inlineStr">
        <is>
          <t>0</t>
        </is>
      </c>
      <c r="E81" s="31" t="n">
        <v>0</v>
      </c>
      <c r="F81" s="31" t="n">
        <v>0</v>
      </c>
      <c r="G81" s="40" t="inlineStr">
        <is>
          <t>OK</t>
        </is>
      </c>
    </row>
    <row r="82">
      <c r="A82" s="31" t="n">
        <v>78</v>
      </c>
      <c r="B82" s="39" t="inlineStr">
        <is>
          <t>Payout cycles are continuous with no gap/overlap</t>
        </is>
      </c>
      <c r="C82" s="31" t="inlineStr">
        <is>
          <t>01 Sep – 30 Sep 2026</t>
        </is>
      </c>
      <c r="D82" s="31" t="inlineStr">
        <is>
          <t>0 gaps</t>
        </is>
      </c>
      <c r="E82" s="31" t="inlineStr">
        <is>
          <t>0 gaps</t>
        </is>
      </c>
      <c r="F82" s="31" t="n">
        <v>0</v>
      </c>
      <c r="G82" s="40" t="inlineStr">
        <is>
          <t>OK</t>
        </is>
      </c>
    </row>
    <row r="83">
      <c r="A83" s="31" t="n">
        <v>79</v>
      </c>
      <c r="B83" s="39" t="inlineStr">
        <is>
          <t>Coverage of the period</t>
        </is>
      </c>
      <c r="C83" s="31" t="inlineStr">
        <is>
          <t>September 2026</t>
        </is>
      </c>
      <c r="D83" s="31" t="inlineStr">
        <is>
          <t>01 Sep 2026</t>
        </is>
      </c>
      <c r="E83" s="31" t="inlineStr">
        <is>
          <t>01 Sep 2026</t>
        </is>
      </c>
      <c r="F83" s="31" t="n"/>
      <c r="G83" s="40" t="inlineStr">
        <is>
          <t>OK</t>
        </is>
      </c>
    </row>
    <row r="84">
      <c r="A84" s="31" t="n">
        <v>80</v>
      </c>
      <c r="B84" s="39" t="inlineStr">
        <is>
          <t>Coverage of the period — end</t>
        </is>
      </c>
      <c r="C84" s="31" t="inlineStr">
        <is>
          <t>September 2026</t>
        </is>
      </c>
      <c r="D84" s="31" t="inlineStr">
        <is>
          <t>30 Sep 2026</t>
        </is>
      </c>
      <c r="E84" s="31" t="inlineStr">
        <is>
          <t>30 Sep 2026</t>
        </is>
      </c>
      <c r="F84" s="31" t="n"/>
      <c r="G84" s="40" t="inlineStr">
        <is>
          <t>OK</t>
        </is>
      </c>
    </row>
    <row r="85">
      <c r="A85" s="31" t="n">
        <v>81</v>
      </c>
      <c r="B85" s="39" t="inlineStr">
        <is>
          <t>Unresolved customer complaints outstanding</t>
        </is>
      </c>
      <c r="C85" s="31" t="inlineStr">
        <is>
          <t>All cycles</t>
        </is>
      </c>
      <c r="D85" s="31" t="n">
        <v>0</v>
      </c>
      <c r="E85" s="32" t="n">
        <v>0</v>
      </c>
      <c r="F85" s="31" t="n">
        <v>0</v>
      </c>
      <c r="G85" s="40" t="inlineStr">
        <is>
          <t>OK</t>
        </is>
      </c>
    </row>
    <row r="86"/>
    <row r="87">
      <c r="B87" s="5" t="inlineStr">
        <is>
          <t>Exceptions requiring attention</t>
        </is>
      </c>
    </row>
    <row r="88" ht="30" customHeight="1">
      <c r="B88" s="42" t="inlineStr">
        <is>
          <t>•  GST discharged by Swiggy (₹2,305.92) is ₹6.02 lower than the GST billed to customers (₹2,311.94). This is CORRECT and not a discrepancy: ₹5.90 of it is the effect of the cancellation-compensation policy (order 247576408124202 in the 01 – 05 Sep cycle was cancelled before pickup and is compensated at 80% of the order value, so GST was discharged on ₹472.00 instead of ₹590.00), and the remaining ₹0.12 is paise rounding on the other orders. See the 'Cancelled Orders' sheet and the GST working workbook → Sec 9(5) Reconciliation.</t>
        </is>
      </c>
    </row>
    <row r="89" ht="30" customHeight="1">
      <c r="B89" s="42" t="inlineStr">
        <is>
          <t>•  The 20–26 Sep cycle's annexure is generated on 01 Oct and the 27–30 Sep cycle is a four-day cycle — payout cycles are not equal length, so compare rates (not totals) across cycles.</t>
        </is>
      </c>
    </row>
    <row r="90" ht="30" customHeight="1">
      <c r="B90" s="42" t="inlineStr">
        <is>
          <t>•  Ads investments of ₹680.84 were recovered in 4 of the 5 cycles against 'Aug-26' ad packs (₹170.21 per cycle: Top Picks ₹110.62 + Ads Offers ₹59.59), and nil in the 27–30 Sep cycle.</t>
        </is>
      </c>
    </row>
    <row r="91" ht="30" customHeight="1">
      <c r="B91" s="42" t="inlineStr">
        <is>
          <t>•  The Discount Summary sheet says 'Unable to fetch Campaign Details' — Swiggy has not given the coupon-level discount breakdown even though 8-21 orders per cycle carried a discount code (75 orders in total).</t>
        </is>
      </c>
    </row>
    <row r="92" ht="30" customHeight="1">
      <c r="B92" s="42" t="inlineStr">
        <is>
          <t>•  Differences of a few paise on the payout equations are Swiggy's own rounding inside the annexures (the same cycle shows a paise difference between its delivered/cancelled columns and its total column); they are disclosed here rather than adjusted.</t>
        </is>
      </c>
    </row>
    <row r="94">
      <c r="A94" s="18" t="inlineStr">
        <is>
          <t>Source: Swiggy weekly payout annexures · Prepared 05 October 2026</t>
        </is>
      </c>
    </row>
  </sheetData>
  <mergeCells count="5">
    <mergeCell ref="B89:G89"/>
    <mergeCell ref="B90:G90"/>
    <mergeCell ref="B88:G88"/>
    <mergeCell ref="B92:G92"/>
    <mergeCell ref="B91:G9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5" customWidth="1" min="1" max="1"/>
    <col width="42" customWidth="1" min="2" max="2"/>
    <col width="100" customWidth="1" min="3" max="3"/>
  </cols>
  <sheetData>
    <row r="1">
      <c r="A1" s="21" t="inlineStr">
        <is>
          <t>Glossary</t>
        </is>
      </c>
    </row>
    <row r="2">
      <c r="A2" s="2" t="inlineStr">
        <is>
          <t>Definitions of the fields used in the Order Level section</t>
        </is>
      </c>
    </row>
    <row r="4" ht="30" customHeight="1">
      <c r="A4" s="6" t="inlineStr">
        <is>
          <t>#</t>
        </is>
      </c>
      <c r="B4" s="6" t="inlineStr">
        <is>
          <t>Particular</t>
        </is>
      </c>
      <c r="C4" s="6" t="inlineStr">
        <is>
          <t>Definition</t>
        </is>
      </c>
    </row>
    <row r="5">
      <c r="A5" s="33" t="n">
        <v>1</v>
      </c>
      <c r="B5" s="33" t="inlineStr">
        <is>
          <t>Item Total</t>
        </is>
      </c>
      <c r="C5" s="33" t="inlineStr">
        <is>
          <t>Total value of ordered items (without taxes)</t>
        </is>
      </c>
    </row>
    <row r="6">
      <c r="A6" s="33" t="n">
        <v>2</v>
      </c>
      <c r="B6" s="33" t="inlineStr">
        <is>
          <t>Packaging Charges</t>
        </is>
      </c>
      <c r="C6" s="33" t="inlineStr">
        <is>
          <t>Total amount paid for packaging (without taxes)</t>
        </is>
      </c>
    </row>
    <row r="7">
      <c r="A7" s="33" t="n">
        <v>3</v>
      </c>
      <c r="B7" s="33" t="inlineStr">
        <is>
          <t>Restaurant Item Discount</t>
        </is>
      </c>
      <c r="C7" s="33" t="inlineStr">
        <is>
          <t>Total discounts on like SWIGGYIT, FLATDEAL and other item level discounts sponsored by the restaurant.</t>
        </is>
      </c>
    </row>
    <row r="8">
      <c r="A8" s="33" t="n">
        <v>4</v>
      </c>
      <c r="B8" s="33" t="inlineStr">
        <is>
          <t>Swiggy One extra discount</t>
        </is>
      </c>
      <c r="C8" s="33" t="inlineStr">
        <is>
          <t>Additional discount sponsored by the restaurant for orders placed by Swiggy One customers</t>
        </is>
      </c>
    </row>
    <row r="9">
      <c r="A9" s="33" t="n">
        <v>5</v>
      </c>
      <c r="B9" s="33" t="inlineStr">
        <is>
          <t>Discount Share</t>
        </is>
      </c>
      <c r="C9" s="33" t="inlineStr">
        <is>
          <t>Total discounts on items sponsored by the Restaurant</t>
        </is>
      </c>
    </row>
    <row r="10">
      <c r="A10" s="33" t="n">
        <v>6</v>
      </c>
      <c r="B10" s="33" t="inlineStr">
        <is>
          <t>Net Bill Value (Before Taxes)</t>
        </is>
      </c>
      <c r="C10" s="33" t="inlineStr">
        <is>
          <t>Total sales amount including item total, packaging charges and restaurant sponsored discounts before GST</t>
        </is>
      </c>
    </row>
    <row r="11">
      <c r="A11" s="33" t="n">
        <v>7</v>
      </c>
      <c r="B11" s="33" t="inlineStr">
        <is>
          <t>GST Collected</t>
        </is>
      </c>
      <c r="C11" s="33" t="inlineStr">
        <is>
          <t>GST collected from the customer on behalf of the restaurant</t>
        </is>
      </c>
    </row>
    <row r="12">
      <c r="A12" s="33" t="n">
        <v>8</v>
      </c>
      <c r="B12" s="33" t="inlineStr">
        <is>
          <t>Delivery Fee</t>
        </is>
      </c>
      <c r="C12" s="33" t="inlineStr">
        <is>
          <t>Delivery Fee before taxes charged by the self delivery restaurant collected from the customer</t>
        </is>
      </c>
    </row>
    <row r="13">
      <c r="A13" s="33" t="n">
        <v>9</v>
      </c>
      <c r="B13" s="33" t="inlineStr">
        <is>
          <t>Discount on Delivery Fee</t>
        </is>
      </c>
      <c r="C13" s="33" t="inlineStr">
        <is>
          <t>Discount on Delivery Fee offered by the self delivery restaurant</t>
        </is>
      </c>
    </row>
    <row r="14">
      <c r="A14" s="33" t="n">
        <v>10</v>
      </c>
      <c r="B14" s="33" t="inlineStr">
        <is>
          <t>GST on Delivery Fee</t>
        </is>
      </c>
      <c r="C14" s="33" t="inlineStr">
        <is>
          <t>GST charged on the Delivery Fees by the restaurant collected from the customer</t>
        </is>
      </c>
    </row>
    <row r="15">
      <c r="A15" s="33" t="n">
        <v>11</v>
      </c>
      <c r="B15" s="33" t="inlineStr">
        <is>
          <t>Commission charged on</t>
        </is>
      </c>
      <c r="C15" s="33" t="inlineStr">
        <is>
          <t>Commissionable value on which the base commission is charged on the order</t>
        </is>
      </c>
    </row>
    <row r="16">
      <c r="A16" s="33" t="n">
        <v>12</v>
      </c>
      <c r="B16" s="33" t="inlineStr">
        <is>
          <t>Commission %</t>
        </is>
      </c>
      <c r="C16" s="33" t="inlineStr">
        <is>
          <t>Base commission percentage as per the agreement between restaurant and Swiggy</t>
        </is>
      </c>
    </row>
    <row r="17">
      <c r="A17" s="33" t="n">
        <v>13</v>
      </c>
      <c r="B17" s="33" t="inlineStr">
        <is>
          <t>Commission</t>
        </is>
      </c>
      <c r="C17" s="33" t="inlineStr">
        <is>
          <t>Commission collected as service fee by Swiggy on the order value</t>
        </is>
      </c>
    </row>
    <row r="18">
      <c r="A18" s="33" t="n">
        <v>14</v>
      </c>
      <c r="B18" s="33" t="inlineStr">
        <is>
          <t>Long Distance Charges</t>
        </is>
      </c>
      <c r="C18" s="33" t="inlineStr">
        <is>
          <t>Total amount collected for long distance orders</t>
        </is>
      </c>
    </row>
    <row r="19">
      <c r="A19" s="33" t="n">
        <v>15</v>
      </c>
      <c r="B19" s="33" t="inlineStr">
        <is>
          <t>Pocket Hero Fees</t>
        </is>
      </c>
      <c r="C19" s="33" t="inlineStr">
        <is>
          <t>Amount collected for orders placed under the Pocket Hero program</t>
        </is>
      </c>
    </row>
    <row r="20">
      <c r="A20" s="33" t="n">
        <v>16</v>
      </c>
      <c r="B20" s="33" t="inlineStr">
        <is>
          <t>Swiggy One Fees</t>
        </is>
      </c>
      <c r="C20" s="33" t="inlineStr">
        <is>
          <t>Amount collected for orders placed by Swiggy One customers as per the agreed policy</t>
        </is>
      </c>
    </row>
    <row r="21">
      <c r="A21" s="33" t="n">
        <v>17</v>
      </c>
      <c r="B21" s="33" t="inlineStr">
        <is>
          <t>Bolt Fees</t>
        </is>
      </c>
      <c r="C21" s="33" t="inlineStr">
        <is>
          <t>Charged for Bolt orders</t>
        </is>
      </c>
    </row>
    <row r="22">
      <c r="A22" s="33" t="n">
        <v>18</v>
      </c>
      <c r="B22" s="33" t="inlineStr">
        <is>
          <t>Payment Collection Charges</t>
        </is>
      </c>
      <c r="C22" s="33" t="inlineStr">
        <is>
          <t>Amount charged for online payment mechanisms</t>
        </is>
      </c>
    </row>
    <row r="23">
      <c r="A23" s="33" t="n">
        <v>19</v>
      </c>
      <c r="B23" s="33" t="inlineStr">
        <is>
          <t>Restaurant Cancellation Charges</t>
        </is>
      </c>
      <c r="C23" s="33" t="inlineStr">
        <is>
          <t>Amount charged for orders cancelled by the restaurant as per the agreed terms</t>
        </is>
      </c>
    </row>
    <row r="24">
      <c r="A24" s="33" t="n">
        <v>20</v>
      </c>
      <c r="B24" s="33" t="inlineStr">
        <is>
          <t>Call Center Charges</t>
        </is>
      </c>
      <c r="C24" s="33" t="inlineStr">
        <is>
          <t>Amount charged for IVR calls made as reminders for delayed order acceptance</t>
        </is>
      </c>
    </row>
    <row r="25">
      <c r="A25" s="33" t="n">
        <v>21</v>
      </c>
      <c r="B25" s="33" t="inlineStr">
        <is>
          <t>Delivery Fee sponsored by Restaurant</t>
        </is>
      </c>
      <c r="C25" s="33" t="inlineStr">
        <is>
          <t>Delivery charges paid by the restaurant partner on behalf of the customer as agreed campaign terms</t>
        </is>
      </c>
    </row>
    <row r="26">
      <c r="A26" s="33" t="n">
        <v>22</v>
      </c>
      <c r="B26" s="33" t="inlineStr">
        <is>
          <t>GST on Swiggy Fees [9+10-11+12+13+14+15+16+17]*18%</t>
        </is>
      </c>
      <c r="C26" s="33" t="inlineStr">
        <is>
          <t>GST amount collected on Swiggy Fees</t>
        </is>
      </c>
    </row>
    <row r="27">
      <c r="A27" s="33" t="n">
        <v>23</v>
      </c>
      <c r="B27" s="33" t="inlineStr">
        <is>
          <t>Customer Cancellations</t>
        </is>
      </c>
      <c r="C27" s="33" t="inlineStr">
        <is>
          <t>Amount collected for orders cancelled by customers as per the payment terms for the partner</t>
        </is>
      </c>
    </row>
    <row r="28">
      <c r="A28" s="33" t="n">
        <v>24</v>
      </c>
      <c r="B28" s="33" t="inlineStr">
        <is>
          <t>Customer Complaints</t>
        </is>
      </c>
      <c r="C28" s="33" t="inlineStr">
        <is>
          <t>Refunds paid to the customer for food related issues</t>
        </is>
      </c>
    </row>
    <row r="29">
      <c r="A29" s="33" t="n">
        <v>25</v>
      </c>
      <c r="B29" s="33" t="inlineStr">
        <is>
          <t>GST paid by Swiggy on behalf of restaurant - under section 9(5)</t>
        </is>
      </c>
      <c r="C29" s="33" t="inlineStr">
        <is>
          <t>Tax amount retained by Swiggy for restaurant services as per Section 9(5) of GST Act 2017, with effect from 1 January 2022. Swiggy deposits this tax amount with authorities on behalf of the restaurant.</t>
        </is>
      </c>
    </row>
    <row r="30">
      <c r="A30" s="33" t="n">
        <v>26</v>
      </c>
      <c r="B30" s="33" t="inlineStr">
        <is>
          <t>TCS</t>
        </is>
      </c>
      <c r="C30" s="33" t="inlineStr">
        <is>
          <t>TCS is amount collected at source by Swiggy on items other than Restaurant Services in terms of provisions of Section 52 of the CGST Act, 2017. The said amount will be deposited to Government upon filing of TCS Return {GSTR-8} at GSTIN level.</t>
        </is>
      </c>
    </row>
    <row r="31">
      <c r="A31" s="33" t="n">
        <v>27</v>
      </c>
      <c r="B31" s="33" t="inlineStr">
        <is>
          <t>TDS</t>
        </is>
      </c>
      <c r="C31" s="33" t="inlineStr">
        <is>
          <t>Swiggy is required to deduct taxes at source from the amount for all Orders that are settled via Swiggy. TDS u/s 194-O shall be applied on Gross Sales (less applicable taxes charged by the Restaurant) as per the applicable tax law on the rate as applicable and amended from time to time.</t>
        </is>
      </c>
    </row>
    <row r="33">
      <c r="A33" s="5" t="inlineStr">
        <is>
          <t>Additional notes on this consolidation</t>
        </is>
      </c>
    </row>
    <row r="34" ht="28" customHeight="1">
      <c r="A34" s="42" t="inlineStr">
        <is>
          <t>•  In the Order Level sheet, 'Total Swiggy Fees' is inclusive of the 18% GST charged on Swiggy's own service fee.</t>
        </is>
      </c>
    </row>
    <row r="35" ht="28" customHeight="1">
      <c r="A35" s="42" t="inlineStr">
        <is>
          <t>•  In the Payout Breakup, 'Swiggy Fees' (line B) excludes that GST — it appears separately as line 19 'GST on Service Fee @18%'. The payout equation A+B+C+D+E+F=G therefore ties only with the payout-breakup convention.</t>
        </is>
      </c>
    </row>
    <row r="36" ht="28" customHeight="1">
      <c r="A36" s="42" t="inlineStr">
        <is>
          <t>•  'GST Deduction' (line 18) is the 5% GST on the food supply that Swiggy retains and deposits under Section 9(5) of the CGST Act — it is not a charge on the restaurant.</t>
        </is>
      </c>
    </row>
    <row r="38">
      <c r="A38" s="18" t="inlineStr">
        <is>
          <t>Source: Swiggy weekly payout annexures · Prepared 05 October 2026</t>
        </is>
      </c>
    </row>
  </sheetData>
  <mergeCells count="3">
    <mergeCell ref="A35:C35"/>
    <mergeCell ref="A36:C36"/>
    <mergeCell ref="A34:C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2026-10-05T11:51:55Z</dcterms:created>
  <dcterms:modified xsi:type="dcterms:W3CDTF">2026-10-05T11:51:56Z</dcterms:modified>
</cp:coreProperties>
</file>
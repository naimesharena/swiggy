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GST Snapshot" sheetId="2" state="visible" r:id="rId2"/>
    <sheet name="Period-wise GST" sheetId="3" state="visible" r:id="rId3"/>
    <sheet name="GSTR-1 Working" sheetId="4" state="visible" r:id="rId4"/>
    <sheet name="GSTR-3B Working" sheetId="5" state="visible" r:id="rId5"/>
    <sheet name="Sec 9(5) Reconciliation" sheetId="6" state="visible" r:id="rId6"/>
    <sheet name="TCS &amp; TDS" sheetId="7" state="visible" r:id="rId7"/>
    <sheet name="Order-wise GST Register" sheetId="8" state="visible" r:id="rId8"/>
    <sheet name="Checks &amp; Caveats" sheetId="9" state="visible" r:id="rId9"/>
  </sheets>
  <definedNames>
    <definedName name="_xlnm._FilterDatabase" localSheetId="7" hidden="1">'Order-wise GST Register'!$A$1:$R$79</definedName>
  </definedNames>
  <calcPr calcId="124519" fullCalcOnLoad="1"/>
</workbook>
</file>

<file path=xl/styles.xml><?xml version="1.0" encoding="utf-8"?>
<styleSheet xmlns="http://schemas.openxmlformats.org/spreadsheetml/2006/main">
  <numFmts count="3">
    <numFmt numFmtId="164" formatCode="₹#,##0.00;[Red]-₹#,##0.00"/>
    <numFmt numFmtId="165" formatCode="yyyy-mm-dd h:mm:ss"/>
    <numFmt numFmtId="166" formatCode="dd-mmm-yyyy hh:mm"/>
  </numFmts>
  <fonts count="11">
    <font>
      <name val="Calibri"/>
      <family val="2"/>
      <color theme="1"/>
      <sz val="11"/>
      <scheme val="minor"/>
    </font>
    <font>
      <b val="1"/>
      <color rgb="001F3864"/>
      <sz val="18"/>
    </font>
    <font>
      <name val="Calibri"/>
      <i val="1"/>
      <color rgb="00808080"/>
      <sz val="11"/>
    </font>
    <font>
      <name val="Calibri"/>
      <b val="1"/>
      <sz val="11"/>
    </font>
    <font>
      <name val="Calibri"/>
      <sz val="11"/>
    </font>
    <font>
      <name val="Calibri"/>
      <b val="1"/>
      <color rgb="001F3864"/>
      <sz val="11"/>
    </font>
    <font>
      <name val="Calibri"/>
      <b val="1"/>
      <color rgb="00FFFFFF"/>
      <sz val="11"/>
    </font>
    <font>
      <name val="Calibri"/>
      <b val="1"/>
      <color rgb="001F3864"/>
      <sz val="16"/>
    </font>
    <font>
      <name val="Calibri"/>
      <i val="1"/>
      <color rgb="00808080"/>
      <sz val="9"/>
    </font>
    <font>
      <b val="1"/>
      <color rgb="001E6B33"/>
    </font>
    <font>
      <b val="1"/>
      <color rgb="001F3864"/>
    </font>
  </fonts>
  <fills count="8">
    <fill>
      <patternFill/>
    </fill>
    <fill>
      <patternFill patternType="gray125"/>
    </fill>
    <fill>
      <patternFill patternType="solid">
        <fgColor rgb="002E5C8A"/>
      </patternFill>
    </fill>
    <fill>
      <patternFill patternType="solid">
        <fgColor rgb="00DDEBF7"/>
      </patternFill>
    </fill>
    <fill>
      <patternFill patternType="solid">
        <fgColor rgb="00E2EFDA"/>
      </patternFill>
    </fill>
    <fill>
      <patternFill patternType="solid">
        <fgColor rgb="00DCE6F1"/>
      </patternFill>
    </fill>
    <fill>
      <patternFill patternType="solid">
        <fgColor rgb="00F2F7FB"/>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5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6" fillId="2" borderId="1" applyAlignment="1" pivotButton="0" quotePrefix="0" xfId="0">
      <alignment horizontal="center" vertical="center" wrapText="1"/>
    </xf>
    <xf numFmtId="0" fontId="4" fillId="0" borderId="0" pivotButton="0" quotePrefix="0" xfId="0"/>
    <xf numFmtId="0" fontId="7" fillId="0" borderId="0" pivotButton="0" quotePrefix="0" xfId="0"/>
    <xf numFmtId="0" fontId="3" fillId="0" borderId="1" pivotButton="0" quotePrefix="0" xfId="0"/>
    <xf numFmtId="164" fontId="3" fillId="0" borderId="1" pivotButton="0" quotePrefix="0" xfId="0"/>
    <xf numFmtId="0" fontId="4" fillId="0" borderId="1" applyAlignment="1" pivotButton="0" quotePrefix="0" xfId="0">
      <alignment vertical="top" wrapText="1"/>
    </xf>
    <xf numFmtId="0" fontId="4" fillId="0" borderId="1" pivotButton="0" quotePrefix="0" xfId="0"/>
    <xf numFmtId="164" fontId="4" fillId="0" borderId="1" pivotButton="0" quotePrefix="0" xfId="0"/>
    <xf numFmtId="0" fontId="4" fillId="3" borderId="1" pivotButton="0" quotePrefix="0" xfId="0"/>
    <xf numFmtId="164" fontId="4" fillId="3" borderId="1" pivotButton="0" quotePrefix="0" xfId="0"/>
    <xf numFmtId="0" fontId="4" fillId="3" borderId="1" applyAlignment="1" pivotButton="0" quotePrefix="0" xfId="0">
      <alignment vertical="top" wrapText="1"/>
    </xf>
    <xf numFmtId="0" fontId="3" fillId="4" borderId="1" pivotButton="0" quotePrefix="0" xfId="0"/>
    <xf numFmtId="164" fontId="3" fillId="4" borderId="1" pivotButton="0" quotePrefix="0" xfId="0"/>
    <xf numFmtId="0" fontId="4" fillId="4" borderId="1" applyAlignment="1" pivotButton="0" quotePrefix="0" xfId="0">
      <alignment vertical="top" wrapText="1"/>
    </xf>
    <xf numFmtId="0" fontId="4" fillId="5" borderId="1" pivotButton="0" quotePrefix="0" xfId="0"/>
    <xf numFmtId="0" fontId="4" fillId="5" borderId="1" applyAlignment="1" pivotButton="0" quotePrefix="0" xfId="0">
      <alignment vertical="top" wrapText="1"/>
    </xf>
    <xf numFmtId="0" fontId="8" fillId="0" borderId="0" pivotButton="0" quotePrefix="0" xfId="0"/>
    <xf numFmtId="3" fontId="4" fillId="0" borderId="1" pivotButton="0" quotePrefix="0" xfId="0"/>
    <xf numFmtId="0" fontId="4" fillId="6" borderId="1" pivotButton="0" quotePrefix="0" xfId="0"/>
    <xf numFmtId="3" fontId="4" fillId="6" borderId="1" pivotButton="0" quotePrefix="0" xfId="0"/>
    <xf numFmtId="164" fontId="4" fillId="6" borderId="1" pivotButton="0" quotePrefix="0" xfId="0"/>
    <xf numFmtId="3" fontId="3" fillId="4" borderId="1" pivotButton="0" quotePrefix="0" xfId="0"/>
    <xf numFmtId="164" fontId="4" fillId="0" borderId="1" applyAlignment="1" pivotButton="0" quotePrefix="0" xfId="0">
      <alignment vertical="top" wrapText="1"/>
    </xf>
    <xf numFmtId="0" fontId="0" fillId="0" borderId="1" pivotButton="0" quotePrefix="0" xfId="0"/>
    <xf numFmtId="0" fontId="0" fillId="4" borderId="1" pivotButton="0" quotePrefix="0" xfId="0"/>
    <xf numFmtId="164" fontId="4" fillId="7" borderId="1" applyAlignment="1" pivotButton="0" quotePrefix="0" xfId="0">
      <alignment vertical="top" wrapText="1"/>
    </xf>
    <xf numFmtId="0" fontId="4" fillId="6" borderId="1" applyAlignment="1" pivotButton="0" quotePrefix="0" xfId="0">
      <alignment vertical="top" wrapText="1"/>
    </xf>
    <xf numFmtId="164" fontId="4" fillId="6" borderId="1" applyAlignment="1" pivotButton="0" quotePrefix="0" xfId="0">
      <alignment vertical="top" wrapText="1"/>
    </xf>
    <xf numFmtId="0" fontId="4" fillId="7" borderId="1" pivotButton="0" quotePrefix="0" xfId="0"/>
    <xf numFmtId="164" fontId="4" fillId="7" borderId="1" pivotButton="0" quotePrefix="0" xfId="0"/>
    <xf numFmtId="0" fontId="3" fillId="4" borderId="1" applyAlignment="1" pivotButton="0" quotePrefix="0" xfId="0">
      <alignment vertical="top" wrapText="1"/>
    </xf>
    <xf numFmtId="164" fontId="3" fillId="4" borderId="1" applyAlignment="1" pivotButton="0" quotePrefix="0" xfId="0">
      <alignment vertical="top" wrapText="1"/>
    </xf>
    <xf numFmtId="10" fontId="4" fillId="0" borderId="1" pivotButton="0" quotePrefix="0" xfId="0"/>
    <xf numFmtId="10" fontId="3" fillId="4" borderId="1" pivotButton="0" quotePrefix="0" xfId="0"/>
    <xf numFmtId="0" fontId="4" fillId="0" borderId="1" applyAlignment="1" pivotButton="0" quotePrefix="0" xfId="0">
      <alignment vertical="center"/>
    </xf>
    <xf numFmtId="166" fontId="4" fillId="0" borderId="1" applyAlignment="1" pivotButton="0" quotePrefix="0" xfId="0">
      <alignment vertical="center"/>
    </xf>
    <xf numFmtId="164" fontId="4" fillId="0" borderId="1" applyAlignment="1" pivotButton="0" quotePrefix="0" xfId="0">
      <alignment vertical="center"/>
    </xf>
    <xf numFmtId="0" fontId="4" fillId="0" borderId="1" applyAlignment="1" pivotButton="0" quotePrefix="0" xfId="0">
      <alignment vertical="center" wrapText="1"/>
    </xf>
    <xf numFmtId="0" fontId="4" fillId="6" borderId="1" applyAlignment="1" pivotButton="0" quotePrefix="0" xfId="0">
      <alignment vertical="center"/>
    </xf>
    <xf numFmtId="166" fontId="4" fillId="6" borderId="1" applyAlignment="1" pivotButton="0" quotePrefix="0" xfId="0">
      <alignment vertical="center"/>
    </xf>
    <xf numFmtId="164" fontId="4" fillId="6" borderId="1" applyAlignment="1" pivotButton="0" quotePrefix="0" xfId="0">
      <alignment vertical="center"/>
    </xf>
    <xf numFmtId="0" fontId="4" fillId="6" borderId="1" applyAlignment="1" pivotButton="0" quotePrefix="0" xfId="0">
      <alignment vertical="center" wrapText="1"/>
    </xf>
    <xf numFmtId="0" fontId="4" fillId="7" borderId="1" applyAlignment="1" pivotButton="0" quotePrefix="0" xfId="0">
      <alignment vertical="center"/>
    </xf>
    <xf numFmtId="166" fontId="4" fillId="7" borderId="1" applyAlignment="1" pivotButton="0" quotePrefix="0" xfId="0">
      <alignment vertical="center"/>
    </xf>
    <xf numFmtId="164" fontId="4" fillId="7" borderId="1" applyAlignment="1" pivotButton="0" quotePrefix="0" xfId="0">
      <alignment vertical="center"/>
    </xf>
    <xf numFmtId="0" fontId="4" fillId="7" borderId="1" applyAlignment="1" pivotButton="0" quotePrefix="0" xfId="0">
      <alignment vertical="center" wrapText="1"/>
    </xf>
    <xf numFmtId="0" fontId="9" fillId="4" borderId="1" applyAlignment="1" pivotButton="0" quotePrefix="0" xfId="0">
      <alignment horizontal="center"/>
    </xf>
    <xf numFmtId="0" fontId="10" fillId="3"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C34"/>
  <sheetViews>
    <sheetView showGridLines="0" workbookViewId="0">
      <selection activeCell="A1" sqref="A1"/>
    </sheetView>
  </sheetViews>
  <sheetFormatPr baseColWidth="8" defaultRowHeight="15"/>
  <cols>
    <col width="26" customWidth="1" min="1" max="1"/>
    <col width="26" customWidth="1" min="2" max="2"/>
    <col width="110" customWidth="1" min="3" max="3"/>
  </cols>
  <sheetData>
    <row r="2">
      <c r="B2" s="1" t="inlineStr">
        <is>
          <t xml:space="preserve">GST Return Filing Working — September 2026 </t>
        </is>
      </c>
    </row>
    <row r="3">
      <c r="B3" s="2" t="inlineStr">
        <is>
          <t>Prepared from the Swiggy weekly payout annexures · 78.0 orders · 5 payouts</t>
        </is>
      </c>
    </row>
    <row r="5" ht="28" customHeight="1">
      <c r="B5" s="3" t="inlineStr">
        <is>
          <t>Legal name / outlet</t>
        </is>
      </c>
      <c r="C5" s="4" t="inlineStr">
        <is>
          <t>Cheesecake Mills — Adajan, Surat</t>
        </is>
      </c>
    </row>
    <row r="6" ht="28" customHeight="1">
      <c r="B6" s="3" t="inlineStr">
        <is>
          <t>GSTIN</t>
        </is>
      </c>
      <c r="C6" s="4" t="inlineStr">
        <is>
          <t>24GJOPA4594Q1ZE</t>
        </is>
      </c>
    </row>
    <row r="7" ht="28" customHeight="1">
      <c r="B7" s="3" t="inlineStr">
        <is>
          <t>Swiggy Restaurant ID</t>
        </is>
      </c>
      <c r="C7" s="4" t="inlineStr">
        <is>
          <t>833170</t>
        </is>
      </c>
    </row>
    <row r="8" ht="28" customHeight="1">
      <c r="B8" s="3" t="inlineStr">
        <is>
          <t>Return period</t>
        </is>
      </c>
      <c r="C8" s="4" t="inlineStr">
        <is>
          <t>September 2026</t>
        </is>
      </c>
    </row>
    <row r="9" ht="28" customHeight="1">
      <c r="B9" s="3" t="inlineStr">
        <is>
          <t>Sales channels</t>
        </is>
      </c>
      <c r="C9" s="4" t="inlineStr">
        <is>
          <t>Swiggy (77 orders) + Toing (1 order) — one annexure covers every channel, and the tax working combines them</t>
        </is>
      </c>
    </row>
    <row r="10" ht="28" customHeight="1">
      <c r="B10" s="3" t="inlineStr">
        <is>
          <t>Nature of supply</t>
        </is>
      </c>
      <c r="C10" s="4" t="inlineStr">
        <is>
          <t>Restaurant service other than at specified premises — SAC 996331</t>
        </is>
      </c>
    </row>
    <row r="11" ht="28" customHeight="1">
      <c r="B11" s="3" t="inlineStr">
        <is>
          <t>Rate of tax</t>
        </is>
      </c>
      <c r="C11" s="4" t="inlineStr">
        <is>
          <t>5% (CGST 2.50% + SGST 2.50%), intra-state — place of supply Gujarat (24)</t>
        </is>
      </c>
    </row>
    <row r="12" ht="28" customHeight="1">
      <c r="B12" s="3" t="inlineStr">
        <is>
          <t>Supplier for GST purposes</t>
        </is>
      </c>
      <c r="C12" s="4" t="inlineStr">
        <is>
          <t>Swiggy (e-commerce operator) is the deemed supplier under Section 9(5) of the CGST Act, 2017</t>
        </is>
      </c>
    </row>
    <row r="13" ht="28" customHeight="1">
      <c r="B13" s="3" t="inlineStr">
        <is>
          <t>Tax discharging mechanism</t>
        </is>
      </c>
      <c r="C13" s="4" t="inlineStr">
        <is>
          <t>Swiggy retains the 5% GST from each order payout and deposits it with the Government</t>
        </is>
      </c>
    </row>
    <row r="14" ht="28" customHeight="1">
      <c r="B14" s="3" t="inlineStr">
        <is>
          <t>TCS under Section 52</t>
        </is>
      </c>
      <c r="C14" s="4" t="inlineStr">
        <is>
          <t>Not applicable — Circular 167/23/2021-GST; no TCS was deducted in any cycle (confirmed by the annexures)</t>
        </is>
      </c>
    </row>
    <row r="15" ht="28" customHeight="1">
      <c r="B15" s="3" t="inlineStr">
        <is>
          <t>Input tax credit</t>
        </is>
      </c>
      <c r="C15" s="4" t="inlineStr">
        <is>
          <t>Not available — restaurant service at 5% is a no-ITC rate</t>
        </is>
      </c>
    </row>
    <row r="16" ht="28" customHeight="1">
      <c r="B16" s="3" t="inlineStr">
        <is>
          <t>Income-tax TDS</t>
        </is>
      </c>
      <c r="C16" s="4" t="inlineStr">
        <is>
          <t>Section 194-O TDS of ₹36.63 was deducted by Swiggy during the month — claim the credit in Form 26AS / AIS</t>
        </is>
      </c>
    </row>
    <row r="18">
      <c r="B18" s="5" t="inlineStr">
        <is>
          <t>How to use this workbook</t>
        </is>
      </c>
    </row>
    <row r="19" ht="30" customHeight="1">
      <c r="A19" s="6" t="inlineStr">
        <is>
          <t>Sheet</t>
        </is>
      </c>
      <c r="B19" s="6" t="inlineStr">
        <is>
          <t>What it contains</t>
        </is>
      </c>
    </row>
    <row r="20">
      <c r="A20" s="3" t="inlineStr">
        <is>
          <t>GST Snapshot</t>
        </is>
      </c>
      <c r="B20" s="7" t="inlineStr">
        <is>
          <t>The single-page position for the month — billed value, the cancellation adjustment, tax, tax discharged by Swiggy and memo items.</t>
        </is>
      </c>
    </row>
    <row r="21">
      <c r="A21" s="3" t="inlineStr">
        <is>
          <t>Period-wise GST</t>
        </is>
      </c>
      <c r="B21" s="7" t="inlineStr">
        <is>
          <t>The same numbers split by payout cycle, so each annexure can be traced to the return.</t>
        </is>
      </c>
    </row>
    <row r="22">
      <c r="A22" s="3" t="inlineStr">
        <is>
          <t>GSTR-1 Working</t>
        </is>
      </c>
      <c r="B22" s="7" t="inlineStr">
        <is>
          <t>Table 14 / B2CS working for the month with the rate-wise break-up.</t>
        </is>
      </c>
    </row>
    <row r="23">
      <c r="A23" s="3" t="inlineStr">
        <is>
          <t>GSTR-3B Working</t>
        </is>
      </c>
      <c r="B23" s="7" t="inlineStr">
        <is>
          <t>Table 3.1.1(ii) working — taxable value reportable by you, with nil tax payable.</t>
        </is>
      </c>
    </row>
    <row r="24">
      <c r="A24" s="3" t="inlineStr">
        <is>
          <t>Sec 9(5) Reconciliation</t>
        </is>
      </c>
      <c r="B24" s="7" t="inlineStr">
        <is>
          <t>GST collected from customers vs GST actually retained and deposited by Swiggy, with exceptions.</t>
        </is>
      </c>
    </row>
    <row r="25">
      <c r="A25" s="3" t="inlineStr">
        <is>
          <t>TCS &amp; TDS</t>
        </is>
      </c>
      <c r="B25" s="7" t="inlineStr">
        <is>
          <t>Why TCS is nil and the Section 194-O TDS reconciliation for the income-tax credit.</t>
        </is>
      </c>
    </row>
    <row r="26">
      <c r="A26" s="3" t="inlineStr">
        <is>
          <t>Order-wise GST Register</t>
        </is>
      </c>
      <c r="B26" s="7" t="inlineStr">
        <is>
          <t>All 78.0 orders with taxable value, CGST/SGST split and the tax discharged on each.</t>
        </is>
      </c>
    </row>
    <row r="27">
      <c r="A27" s="3" t="inlineStr">
        <is>
          <t>Checks &amp; Caveats</t>
        </is>
      </c>
      <c r="B27" s="7" t="inlineStr">
        <is>
          <t>Tie-outs performed and the points to confirm with your CA before filing.</t>
        </is>
      </c>
    </row>
    <row r="29">
      <c r="A29" s="5" t="inlineStr">
        <is>
          <t>Basis of preparation</t>
        </is>
      </c>
    </row>
    <row r="30" ht="30" customHeight="1">
      <c r="A30" s="4" t="inlineStr">
        <is>
          <t>•  Every figure is taken from the Swiggy annexures for the five payout cycle(s) covering 01 Sep – 30 Sep 2026, so the whole period is represented by one GST return period.</t>
        </is>
      </c>
    </row>
    <row r="31" ht="30" customHeight="1">
      <c r="A31" s="4" t="inlineStr">
        <is>
          <t>•  Taxable value = item total + packaging charges − restaurant-funded discounts. This is the value billed to the customer.</t>
        </is>
      </c>
    </row>
    <row r="32" ht="30" customHeight="1">
      <c r="A32" s="4" t="inlineStr">
        <is>
          <t>•  No pre-pickup cancellation was compensated in this period, so the GST-reportable value equals the billed value.</t>
        </is>
      </c>
    </row>
    <row r="33" ht="30" customHeight="1">
      <c r="A33" s="4" t="inlineStr">
        <is>
          <t>•  Under Section 9(5) the ECO is treated as the supplier for these orders. Two reporting views are therefore shown — 'as per annexure' (the full supply value) and 'restaurant-reported' (nil tax payable by you). The view to be adopted in GSTR-1/GSTR-3B should be confirmed with your CA.</t>
        </is>
      </c>
    </row>
    <row r="34" ht="30" customHeight="1">
      <c r="A34" s="4" t="inlineStr">
        <is>
          <t>•  This workbook is a data preparation aid built from Swiggy's data. It is not tax advice and does not replace professional review before filing.</t>
        </is>
      </c>
    </row>
  </sheetData>
  <mergeCells count="5">
    <mergeCell ref="A33:C33"/>
    <mergeCell ref="A32:C32"/>
    <mergeCell ref="A31:C31"/>
    <mergeCell ref="A30:C30"/>
    <mergeCell ref="A34:C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6"/>
  <sheetViews>
    <sheetView showGridLines="0" workbookViewId="0">
      <selection activeCell="A1" sqref="A1"/>
    </sheetView>
  </sheetViews>
  <sheetFormatPr baseColWidth="8" defaultRowHeight="15"/>
  <cols>
    <col width="52" customWidth="1" min="1" max="1"/>
    <col width="18" customWidth="1" min="2" max="2"/>
    <col width="78" customWidth="1" min="3" max="3"/>
  </cols>
  <sheetData>
    <row r="1">
      <c r="A1" s="8" t="inlineStr">
        <is>
          <t>GST snapshot — September 2026</t>
        </is>
      </c>
    </row>
    <row r="2">
      <c r="A2" s="2" t="inlineStr">
        <is>
          <t>Return-period position per the Swiggy annexures</t>
        </is>
      </c>
    </row>
    <row r="4" ht="30" customHeight="1">
      <c r="A4" s="6" t="inlineStr">
        <is>
          <t>Particulars</t>
        </is>
      </c>
      <c r="B4" s="6" t="inlineStr">
        <is>
          <t>Amount (₹)</t>
        </is>
      </c>
      <c r="C4" s="6" t="inlineStr">
        <is>
          <t>Basis / remark</t>
        </is>
      </c>
    </row>
    <row r="5">
      <c r="A5" s="9" t="inlineStr">
        <is>
          <t>A.  Supply value billed to customers (all orders)</t>
        </is>
      </c>
      <c r="B5" s="10" t="n">
        <v>36567.28</v>
      </c>
      <c r="C5" s="11" t="inlineStr">
        <is>
          <t>Item total + packaging − restaurant-funded discounts, for 78 orders</t>
        </is>
      </c>
    </row>
    <row r="6">
      <c r="A6" s="12" t="inlineStr">
        <is>
          <t xml:space="preserve">        Delivered orders</t>
        </is>
      </c>
      <c r="B6" s="13" t="n">
        <v>36312.28</v>
      </c>
      <c r="C6" s="11" t="inlineStr">
        <is>
          <t>All orders marked 'delivered'</t>
        </is>
      </c>
    </row>
    <row r="7">
      <c r="A7" s="12" t="inlineStr">
        <is>
          <t xml:space="preserve">        Cancelled orders (billed value)</t>
        </is>
      </c>
      <c r="B7" s="13" t="n">
        <v>255</v>
      </c>
      <c r="C7" s="11" t="inlineStr">
        <is>
          <t>2 cancelled order(s): 1 cancelled by the restaurant — no supply, no GST on the food; 1 cancelled after pickup — the supply stands, so the full value is taxed</t>
        </is>
      </c>
    </row>
    <row r="8">
      <c r="A8" s="14" t="inlineStr">
        <is>
          <t xml:space="preserve">    Less: un-compensated 20% of the cancelled order</t>
        </is>
      </c>
      <c r="B8" s="15" t="n">
        <v>-0</v>
      </c>
      <c r="C8" s="16" t="inlineStr">
        <is>
          <t>No compensated pre-pickup cancellation in this period</t>
        </is>
      </c>
    </row>
    <row r="9">
      <c r="A9" s="9" t="inlineStr">
        <is>
          <t>B.  GST-reportable value (value on which GST was discharged)</t>
        </is>
      </c>
      <c r="B9" s="10" t="n">
        <v>36567.28</v>
      </c>
      <c r="C9" s="11">
        <f> ₹36,567.28 billed − ₹0.00 cancellation adjustment</f>
        <v/>
      </c>
    </row>
    <row r="10">
      <c r="A10" s="17" t="inlineStr">
        <is>
          <t xml:space="preserve">        GST 5% on the reportable value</t>
        </is>
      </c>
      <c r="B10" s="18" t="n">
        <v>1828.36</v>
      </c>
      <c r="C10" s="19" t="inlineStr">
        <is>
          <t>₹1,828.37 — agrees exactly with the amount Swiggy discharged</t>
        </is>
      </c>
    </row>
    <row r="11">
      <c r="A11" s="12" t="inlineStr">
        <is>
          <t xml:space="preserve">        CGST @2.50%</t>
        </is>
      </c>
      <c r="B11" s="13" t="n">
        <v>914.1799999999999</v>
      </c>
      <c r="C11" s="11" t="inlineStr">
        <is>
          <t>Intra-state supply — place of supply Gujarat (24)</t>
        </is>
      </c>
    </row>
    <row r="12">
      <c r="A12" s="12" t="inlineStr">
        <is>
          <t xml:space="preserve">        SGST @2.50%</t>
        </is>
      </c>
      <c r="B12" s="13" t="n">
        <v>914.1799999999999</v>
      </c>
      <c r="C12" s="11" t="inlineStr">
        <is>
          <t>Intra-state supply — place of supply Gujarat (24)</t>
        </is>
      </c>
    </row>
    <row r="13">
      <c r="A13" s="9" t="inlineStr">
        <is>
          <t>C.  GST discharged by Swiggy under Section 9(5)</t>
        </is>
      </c>
      <c r="B13" s="10" t="n">
        <v>1828.37</v>
      </c>
      <c r="C13" s="11" t="inlineStr">
        <is>
          <t>Retained by Swiggy from the payouts and deposited with the Government on your behalf</t>
        </is>
      </c>
    </row>
    <row r="14">
      <c r="A14" s="12" t="inlineStr">
        <is>
          <t xml:space="preserve">        GST collected from customers on the full billed value (memo)</t>
        </is>
      </c>
      <c r="B14" s="13" t="n">
        <v>1828.52</v>
      </c>
      <c r="C14" s="11" t="inlineStr">
        <is>
          <t>Fully accounted for: ₹1,828.37 discharged u/s 9(5) + ₹0.00 GST on the un-compensated 20% (deducted inside the ₹0.00 cancellation charge) + ₹0.15 paise rounding</t>
        </is>
      </c>
    </row>
    <row r="15">
      <c r="A15" s="12" t="inlineStr">
        <is>
          <t xml:space="preserve">        Complaint &amp; cancellation charges deducted (line C)</t>
        </is>
      </c>
      <c r="B15" s="13" t="n">
        <v>0</v>
      </c>
      <c r="C15" s="11">
        <f> un-compensated 20% of the cancelled order (₹0.00) + GST 5% on it (₹0.00) — the deduction is GST-inclusive</f>
        <v/>
      </c>
    </row>
    <row r="16">
      <c r="A16" s="12" t="inlineStr">
        <is>
          <t xml:space="preserve">        GST on the un-compensated 20% — not payable</t>
        </is>
      </c>
      <c r="B16" s="13" t="n">
        <v>0</v>
      </c>
      <c r="C16" s="11" t="inlineStr">
        <is>
          <t>₹0.00 × 5%; not a supply, so the tax is not payable and comes back through the cancellation deduction</t>
        </is>
      </c>
    </row>
    <row r="18">
      <c r="A18" s="20" t="inlineStr">
        <is>
          <t>Memorandum items</t>
        </is>
      </c>
      <c r="B18" s="20" t="n"/>
      <c r="C18" s="21" t="inlineStr"/>
    </row>
    <row r="19">
      <c r="A19" s="12" t="inlineStr">
        <is>
          <t xml:space="preserve">        GST charged by Swiggy on its own service fee @18%</t>
        </is>
      </c>
      <c r="B19" s="13" t="n">
        <v>1658.72</v>
      </c>
      <c r="C19" s="11" t="inlineStr">
        <is>
          <t>Recovered from you in the payouts; this is Swiggy's output tax. ITC is not available to a 5% restaurant.</t>
        </is>
      </c>
    </row>
    <row r="20">
      <c r="A20" s="12" t="inlineStr">
        <is>
          <t xml:space="preserve">        Swiggy fees (commission + payment collection) excluding GST</t>
        </is>
      </c>
      <c r="B20" s="13" t="n">
        <v>9216.389999999999</v>
      </c>
      <c r="C20" s="11" t="inlineStr">
        <is>
          <t>Swiggy's consideration for the services it provides to you</t>
        </is>
      </c>
    </row>
    <row r="21">
      <c r="A21" s="12" t="inlineStr">
        <is>
          <t xml:space="preserve">        TCS under Section 52</t>
        </is>
      </c>
      <c r="B21" s="13" t="n">
        <v>0</v>
      </c>
      <c r="C21" s="11" t="inlineStr">
        <is>
          <t>Not applicable to Section 9(5) supplies — Circular 167/23/2021-GST</t>
        </is>
      </c>
    </row>
    <row r="22">
      <c r="A22" s="12" t="inlineStr">
        <is>
          <t xml:space="preserve">        TDS under Section 194-O (income tax)</t>
        </is>
      </c>
      <c r="B22" s="13" t="n">
        <v>36.63</v>
      </c>
      <c r="C22" s="11" t="inlineStr">
        <is>
          <t>Deducted at 0.1% of the supply value (on the 80% compensation value for the cancelled order); claim credit in Form 26AS / AIS — not a GST item</t>
        </is>
      </c>
    </row>
    <row r="23">
      <c r="A23" s="12" t="inlineStr">
        <is>
          <t xml:space="preserve">        Gross amount collected from customers</t>
        </is>
      </c>
      <c r="B23" s="13" t="n">
        <v>38395.8</v>
      </c>
      <c r="C23" s="11" t="inlineStr">
        <is>
          <t>Total customer paid across all orders</t>
        </is>
      </c>
    </row>
    <row r="24">
      <c r="A24" s="9" t="inlineStr">
        <is>
          <t xml:space="preserve">        Net payouts credited by Swiggy</t>
        </is>
      </c>
      <c r="B24" s="10" t="n">
        <v>25416.9</v>
      </c>
      <c r="C24" s="11" t="inlineStr">
        <is>
          <t>Settlement after commission, charges, ads, GST and TDS</t>
        </is>
      </c>
    </row>
    <row r="26">
      <c r="A26" s="22" t="inlineStr">
        <is>
          <t>All amounts in ₹. Prepared 05 October 2026 from 5 annexures. Confirm the reporting view with your CA before filing.</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1" customWidth="1" min="2" max="2"/>
    <col width="14" customWidth="1" min="3" max="3"/>
    <col width="14" customWidth="1" min="4" max="4"/>
    <col width="15" customWidth="1" min="5" max="5"/>
    <col width="15" customWidth="1" min="6" max="6"/>
    <col width="12" customWidth="1" min="7" max="7"/>
    <col width="12" customWidth="1" min="8" max="8"/>
    <col width="16" customWidth="1" min="9" max="9"/>
    <col width="16" customWidth="1" min="10" max="10"/>
    <col width="15" customWidth="1" min="11" max="11"/>
    <col width="10" customWidth="1" min="12" max="12"/>
    <col width="12" customWidth="1" min="13" max="13"/>
    <col width="14" customWidth="1" min="14" max="14"/>
  </cols>
  <sheetData>
    <row r="1" ht="30" customHeight="1">
      <c r="A1" s="6" t="inlineStr">
        <is>
          <t>Payout period</t>
        </is>
      </c>
      <c r="B1" s="6" t="inlineStr">
        <is>
          <t>Order count</t>
        </is>
      </c>
      <c r="C1" s="6" t="inlineStr">
        <is>
          <t>Billed value</t>
        </is>
      </c>
      <c r="D1" s="6" t="inlineStr">
        <is>
          <t>Cancellation adjustment</t>
        </is>
      </c>
      <c r="E1" s="6" t="inlineStr">
        <is>
          <t>GST-reportable value</t>
        </is>
      </c>
      <c r="F1" s="6" t="inlineStr">
        <is>
          <t>GST @5% on reportable value</t>
        </is>
      </c>
      <c r="G1" s="6" t="inlineStr">
        <is>
          <t>CGST @2.50%</t>
        </is>
      </c>
      <c r="H1" s="6" t="inlineStr">
        <is>
          <t>SGST @2.50%</t>
        </is>
      </c>
      <c r="I1" s="6" t="inlineStr">
        <is>
          <t>GST discharged by Swiggy u/s 9(5)</t>
        </is>
      </c>
      <c r="J1" s="6" t="inlineStr">
        <is>
          <t>GST collected on billed value (memo)</t>
        </is>
      </c>
      <c r="K1" s="6" t="inlineStr">
        <is>
          <t>GST on Swiggy fees @18%</t>
        </is>
      </c>
      <c r="L1" s="6" t="inlineStr">
        <is>
          <t>TCS u/s 52</t>
        </is>
      </c>
      <c r="M1" s="6" t="inlineStr">
        <is>
          <t>TDS u/s 194-O</t>
        </is>
      </c>
      <c r="N1" s="6" t="inlineStr">
        <is>
          <t>Net payout</t>
        </is>
      </c>
    </row>
    <row r="2">
      <c r="A2" s="12" t="inlineStr">
        <is>
          <t>01 – 05 Sep</t>
        </is>
      </c>
      <c r="B2" s="23" t="n">
        <v>19</v>
      </c>
      <c r="C2" s="13" t="n">
        <v>9008</v>
      </c>
      <c r="D2" s="13" t="n">
        <v>-0</v>
      </c>
      <c r="E2" s="13" t="n">
        <v>9008</v>
      </c>
      <c r="F2" s="13" t="n">
        <v>450.4</v>
      </c>
      <c r="G2" s="13" t="n">
        <v>225.2</v>
      </c>
      <c r="H2" s="13" t="n">
        <v>225.2</v>
      </c>
      <c r="I2" s="13" t="n">
        <v>450.4</v>
      </c>
      <c r="J2" s="13" t="n">
        <v>450.4</v>
      </c>
      <c r="K2" s="13" t="n">
        <v>401.24</v>
      </c>
      <c r="L2" s="13" t="n">
        <v>0</v>
      </c>
      <c r="M2" s="13" t="n">
        <v>9.01</v>
      </c>
      <c r="N2" s="13" t="n">
        <v>6308.92</v>
      </c>
    </row>
    <row r="3">
      <c r="A3" s="24" t="inlineStr">
        <is>
          <t>06 – 12 Sep</t>
        </is>
      </c>
      <c r="B3" s="25" t="n">
        <v>22</v>
      </c>
      <c r="C3" s="26" t="n">
        <v>9165</v>
      </c>
      <c r="D3" s="26" t="n">
        <v>-0</v>
      </c>
      <c r="E3" s="26" t="n">
        <v>9165</v>
      </c>
      <c r="F3" s="26" t="n">
        <v>458.25</v>
      </c>
      <c r="G3" s="26" t="n">
        <v>229.12</v>
      </c>
      <c r="H3" s="26" t="n">
        <v>229.13</v>
      </c>
      <c r="I3" s="26" t="n">
        <v>458.25</v>
      </c>
      <c r="J3" s="26" t="n">
        <v>458.3</v>
      </c>
      <c r="K3" s="26" t="n">
        <v>415.66</v>
      </c>
      <c r="L3" s="26" t="n">
        <v>0</v>
      </c>
      <c r="M3" s="26" t="n">
        <v>9.19</v>
      </c>
      <c r="N3" s="26" t="n">
        <v>6370.84</v>
      </c>
    </row>
    <row r="4">
      <c r="A4" s="12" t="inlineStr">
        <is>
          <t>13 – 19 Sep</t>
        </is>
      </c>
      <c r="B4" s="23" t="n">
        <v>17</v>
      </c>
      <c r="C4" s="13" t="n">
        <v>8702.139999999999</v>
      </c>
      <c r="D4" s="13" t="n">
        <v>-0</v>
      </c>
      <c r="E4" s="13" t="n">
        <v>8702.139999999999</v>
      </c>
      <c r="F4" s="13" t="n">
        <v>435.11</v>
      </c>
      <c r="G4" s="13" t="n">
        <v>217.56</v>
      </c>
      <c r="H4" s="13" t="n">
        <v>217.55</v>
      </c>
      <c r="I4" s="13" t="n">
        <v>435.11</v>
      </c>
      <c r="J4" s="13" t="n">
        <v>435.16</v>
      </c>
      <c r="K4" s="13" t="n">
        <v>402.26</v>
      </c>
      <c r="L4" s="13" t="n">
        <v>0</v>
      </c>
      <c r="M4" s="13" t="n">
        <v>8.73</v>
      </c>
      <c r="N4" s="13" t="n">
        <v>5996.5</v>
      </c>
    </row>
    <row r="5">
      <c r="A5" s="24" t="inlineStr">
        <is>
          <t>20 – 26 Sep</t>
        </is>
      </c>
      <c r="B5" s="25" t="n">
        <v>9</v>
      </c>
      <c r="C5" s="26" t="n">
        <v>5045</v>
      </c>
      <c r="D5" s="26" t="n">
        <v>-0</v>
      </c>
      <c r="E5" s="26" t="n">
        <v>5045</v>
      </c>
      <c r="F5" s="26" t="n">
        <v>252.25</v>
      </c>
      <c r="G5" s="26" t="n">
        <v>126.12</v>
      </c>
      <c r="H5" s="26" t="n">
        <v>126.13</v>
      </c>
      <c r="I5" s="26" t="n">
        <v>252.25</v>
      </c>
      <c r="J5" s="26" t="n">
        <v>252.28</v>
      </c>
      <c r="K5" s="26" t="n">
        <v>228.82</v>
      </c>
      <c r="L5" s="26" t="n">
        <v>0</v>
      </c>
      <c r="M5" s="26" t="n">
        <v>5.04</v>
      </c>
      <c r="N5" s="26" t="n">
        <v>3480.16</v>
      </c>
    </row>
    <row r="6">
      <c r="A6" s="12" t="inlineStr">
        <is>
          <t>27 – 30 Sep</t>
        </is>
      </c>
      <c r="B6" s="23" t="n">
        <v>11</v>
      </c>
      <c r="C6" s="13" t="n">
        <v>4647.14</v>
      </c>
      <c r="D6" s="13" t="n">
        <v>-0</v>
      </c>
      <c r="E6" s="13" t="n">
        <v>4647.14</v>
      </c>
      <c r="F6" s="13" t="n">
        <v>232.36</v>
      </c>
      <c r="G6" s="13" t="n">
        <v>116.18</v>
      </c>
      <c r="H6" s="13" t="n">
        <v>116.18</v>
      </c>
      <c r="I6" s="13" t="n">
        <v>232.36</v>
      </c>
      <c r="J6" s="13" t="n">
        <v>232.38</v>
      </c>
      <c r="K6" s="13" t="n">
        <v>210.74</v>
      </c>
      <c r="L6" s="13" t="n">
        <v>0</v>
      </c>
      <c r="M6" s="13" t="n">
        <v>4.66</v>
      </c>
      <c r="N6" s="13" t="n">
        <v>3260.48</v>
      </c>
    </row>
    <row r="7">
      <c r="A7" s="17" t="inlineStr">
        <is>
          <t>TOTAL</t>
        </is>
      </c>
      <c r="B7" s="27" t="n">
        <v>78</v>
      </c>
      <c r="C7" s="18" t="n">
        <v>36567.28</v>
      </c>
      <c r="D7" s="18" t="n">
        <v>-0</v>
      </c>
      <c r="E7" s="18" t="n">
        <v>36567.28</v>
      </c>
      <c r="F7" s="18" t="n">
        <v>1828.36</v>
      </c>
      <c r="G7" s="18" t="n">
        <v>914.1799999999999</v>
      </c>
      <c r="H7" s="18" t="n">
        <v>914.1799999999999</v>
      </c>
      <c r="I7" s="18" t="n">
        <v>1828.37</v>
      </c>
      <c r="J7" s="18" t="n">
        <v>1828.52</v>
      </c>
      <c r="K7" s="18" t="n">
        <v>1658.72</v>
      </c>
      <c r="L7" s="18" t="n">
        <v>0</v>
      </c>
      <c r="M7" s="18" t="n">
        <v>36.63</v>
      </c>
      <c r="N7" s="18" t="n">
        <v>25416.9</v>
      </c>
    </row>
    <row r="9">
      <c r="A9" s="22" t="inlineStr">
        <is>
          <t>The whole month of September 2026 falls in one GST return period; the five cycles are payout cycles, not tax periods. 'Cancellation adjustment' is the un-compensated 20% of an order cancelled before pickup — GST is discharged on the 80% compensation value, not on the full billed value.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9"/>
  <sheetViews>
    <sheetView workbookViewId="0">
      <selection activeCell="A1" sqref="A1"/>
    </sheetView>
  </sheetViews>
  <sheetFormatPr baseColWidth="8" defaultRowHeight="15"/>
  <cols>
    <col width="18" customWidth="1" min="1" max="1"/>
    <col width="16" customWidth="1" min="2" max="2"/>
    <col width="12" customWidth="1" min="3" max="3"/>
    <col width="12" customWidth="1" min="4" max="4"/>
    <col width="13" customWidth="1" min="5" max="5"/>
    <col width="18" customWidth="1" min="6" max="6"/>
    <col width="13" customWidth="1" min="7" max="7"/>
    <col width="46" customWidth="1" min="8" max="8"/>
  </cols>
  <sheetData>
    <row r="1">
      <c r="A1" s="8" t="inlineStr">
        <is>
          <t>GSTR-1 working — September 2026</t>
        </is>
      </c>
    </row>
    <row r="2">
      <c r="A2" s="2" t="inlineStr">
        <is>
          <t>Rate-wise outward supply working, with the Section 9(5) view shown separately</t>
        </is>
      </c>
    </row>
    <row r="4">
      <c r="A4" s="5" t="inlineStr">
        <is>
          <t>A. Supplies through Swiggy — as per annexures (ECO as deemed supplier)</t>
        </is>
      </c>
    </row>
    <row r="5" ht="30" customHeight="1">
      <c r="A5" s="6" t="inlineStr">
        <is>
          <t>Nature of supply</t>
        </is>
      </c>
      <c r="B5" s="6" t="inlineStr">
        <is>
          <t>Place of supply</t>
        </is>
      </c>
      <c r="C5" s="6" t="inlineStr">
        <is>
          <t>Rate</t>
        </is>
      </c>
      <c r="D5" s="6" t="inlineStr">
        <is>
          <t>Taxable value</t>
        </is>
      </c>
      <c r="E5" s="6" t="inlineStr">
        <is>
          <t>CGST</t>
        </is>
      </c>
      <c r="F5" s="6" t="inlineStr">
        <is>
          <t>SGST</t>
        </is>
      </c>
      <c r="G5" s="6" t="inlineStr">
        <is>
          <t>Total tax</t>
        </is>
      </c>
      <c r="H5" s="6" t="inlineStr">
        <is>
          <t>Reporting reference</t>
        </is>
      </c>
    </row>
    <row r="6" ht="30" customHeight="1">
      <c r="A6" s="11" t="inlineStr">
        <is>
          <t>Restaurant service through e-commerce operator (Swiggy) — Section 9(5)</t>
        </is>
      </c>
      <c r="B6" s="11" t="inlineStr">
        <is>
          <t>Gujarat (24)</t>
        </is>
      </c>
      <c r="C6" s="11" t="inlineStr">
        <is>
          <t>5%</t>
        </is>
      </c>
      <c r="D6" s="28" t="n">
        <v>36567.28</v>
      </c>
      <c r="E6" s="28" t="n">
        <v>914.1799999999999</v>
      </c>
      <c r="F6" s="28" t="n">
        <v>914.1799999999999</v>
      </c>
      <c r="G6" s="28" t="n">
        <v>1828.36</v>
      </c>
      <c r="H6" s="11" t="inlineStr">
        <is>
          <t>GSTR-1 Table 14 (ECO-wise supplies where tax is payable by the ECO) / B2CS</t>
        </is>
      </c>
    </row>
    <row r="7">
      <c r="A7" s="12" t="inlineStr">
        <is>
          <t xml:space="preserve">        Value billed to customers on all orders</t>
        </is>
      </c>
      <c r="B7" s="29" t="n"/>
      <c r="C7" s="29" t="n"/>
      <c r="D7" s="13" t="n">
        <v>36567.28</v>
      </c>
      <c r="E7" s="29" t="n"/>
      <c r="F7" s="29" t="n"/>
      <c r="G7" s="29" t="n"/>
      <c r="H7" s="11" t="inlineStr">
        <is>
          <t>Order Level sheets — full value</t>
        </is>
      </c>
    </row>
    <row r="8">
      <c r="A8" s="12" t="inlineStr">
        <is>
          <t xml:space="preserve">        Less: un-compensated 20% on the pre-pickup cancellation</t>
        </is>
      </c>
      <c r="B8" s="29" t="n"/>
      <c r="C8" s="29" t="n"/>
      <c r="D8" s="13" t="n">
        <v>-0</v>
      </c>
      <c r="E8" s="29" t="n"/>
      <c r="F8" s="29" t="n"/>
      <c r="G8" s="29" t="n"/>
      <c r="H8" s="11" t="inlineStr">
        <is>
          <t>No compensated cancellation in this period</t>
        </is>
      </c>
    </row>
    <row r="9">
      <c r="A9" s="17" t="inlineStr">
        <is>
          <t xml:space="preserve">        Value reportable for the Swiggy supplies</t>
        </is>
      </c>
      <c r="B9" s="30" t="n"/>
      <c r="C9" s="30" t="n"/>
      <c r="D9" s="18" t="n">
        <v>36567.28</v>
      </c>
      <c r="E9" s="30" t="n"/>
      <c r="F9" s="30" t="n"/>
      <c r="G9" s="30" t="n"/>
      <c r="H9" s="19">
        <f> billed value − cancellation adjustment</f>
        <v/>
      </c>
    </row>
    <row r="11">
      <c r="A11" s="5" t="inlineStr">
        <is>
          <t>B. Outward supplies on which you (the restaurant) are the supplier</t>
        </is>
      </c>
    </row>
    <row r="12" ht="30" customHeight="1">
      <c r="A12" s="6" t="inlineStr">
        <is>
          <t>Nature of supply</t>
        </is>
      </c>
      <c r="B12" s="6" t="inlineStr">
        <is>
          <t>Place of supply</t>
        </is>
      </c>
      <c r="C12" s="6" t="inlineStr">
        <is>
          <t>Rate</t>
        </is>
      </c>
      <c r="D12" s="6" t="inlineStr">
        <is>
          <t>Taxable value</t>
        </is>
      </c>
      <c r="E12" s="6" t="inlineStr">
        <is>
          <t>CGST</t>
        </is>
      </c>
      <c r="F12" s="6" t="inlineStr">
        <is>
          <t>SGST</t>
        </is>
      </c>
      <c r="G12" s="6" t="inlineStr">
        <is>
          <t>Total tax</t>
        </is>
      </c>
      <c r="H12" s="6" t="inlineStr">
        <is>
          <t>Reporting reference</t>
        </is>
      </c>
    </row>
    <row r="13" ht="30" customHeight="1">
      <c r="A13" s="11" t="inlineStr">
        <is>
          <t>Dine-in / takeaway / own delivery (not visible in the Swiggy annexures)</t>
        </is>
      </c>
      <c r="B13" s="11" t="inlineStr">
        <is>
          <t>Gujarat (24)</t>
        </is>
      </c>
      <c r="C13" s="11" t="inlineStr">
        <is>
          <t>5%</t>
        </is>
      </c>
      <c r="D13" s="31" t="n">
        <v>0</v>
      </c>
      <c r="E13" s="28" t="n">
        <v>0</v>
      </c>
      <c r="F13" s="28" t="n">
        <v>0</v>
      </c>
      <c r="G13" s="28" t="n">
        <v>0</v>
      </c>
      <c r="H13" s="11" t="inlineStr">
        <is>
          <t>GSTR-1 Table 7 — B2CS. Add your own sales figures; the annexures do not cover them.</t>
        </is>
      </c>
    </row>
    <row r="15">
      <c r="A15" s="5" t="inlineStr">
        <is>
          <t>C. Cycle-wise working of section A</t>
        </is>
      </c>
    </row>
    <row r="16" ht="30" customHeight="1">
      <c r="A16" s="6" t="inlineStr">
        <is>
          <t>Payout period</t>
        </is>
      </c>
      <c r="B16" s="6" t="inlineStr">
        <is>
          <t>Taxable value (reportable)</t>
        </is>
      </c>
      <c r="C16" s="6" t="inlineStr">
        <is>
          <t>CGST</t>
        </is>
      </c>
      <c r="D16" s="6" t="inlineStr">
        <is>
          <t>SGST</t>
        </is>
      </c>
      <c r="E16" s="6" t="inlineStr">
        <is>
          <t>Total tax</t>
        </is>
      </c>
      <c r="F16" s="6" t="inlineStr">
        <is>
          <t>Tax paid by Swiggy u/s 9(5)</t>
        </is>
      </c>
    </row>
    <row r="17">
      <c r="A17" s="12" t="inlineStr">
        <is>
          <t>01 – 05 Sep</t>
        </is>
      </c>
      <c r="B17" s="13" t="n">
        <v>9008</v>
      </c>
      <c r="C17" s="13" t="n">
        <v>225.2</v>
      </c>
      <c r="D17" s="13" t="n">
        <v>225.2</v>
      </c>
      <c r="E17" s="13" t="n">
        <v>450.4</v>
      </c>
      <c r="F17" s="13" t="n">
        <v>450.4</v>
      </c>
    </row>
    <row r="18">
      <c r="A18" s="12" t="inlineStr">
        <is>
          <t>06 – 12 Sep</t>
        </is>
      </c>
      <c r="B18" s="13" t="n">
        <v>9165</v>
      </c>
      <c r="C18" s="13" t="n">
        <v>229.12</v>
      </c>
      <c r="D18" s="13" t="n">
        <v>229.13</v>
      </c>
      <c r="E18" s="13" t="n">
        <v>458.25</v>
      </c>
      <c r="F18" s="13" t="n">
        <v>458.25</v>
      </c>
    </row>
    <row r="19">
      <c r="A19" s="12" t="inlineStr">
        <is>
          <t>13 – 19 Sep</t>
        </is>
      </c>
      <c r="B19" s="13" t="n">
        <v>8702.139999999999</v>
      </c>
      <c r="C19" s="13" t="n">
        <v>217.55</v>
      </c>
      <c r="D19" s="13" t="n">
        <v>217.56</v>
      </c>
      <c r="E19" s="13" t="n">
        <v>435.11</v>
      </c>
      <c r="F19" s="13" t="n">
        <v>435.11</v>
      </c>
    </row>
    <row r="20">
      <c r="A20" s="12" t="inlineStr">
        <is>
          <t>20 – 26 Sep</t>
        </is>
      </c>
      <c r="B20" s="13" t="n">
        <v>5045</v>
      </c>
      <c r="C20" s="13" t="n">
        <v>126.12</v>
      </c>
      <c r="D20" s="13" t="n">
        <v>126.13</v>
      </c>
      <c r="E20" s="13" t="n">
        <v>252.25</v>
      </c>
      <c r="F20" s="13" t="n">
        <v>252.25</v>
      </c>
    </row>
    <row r="21">
      <c r="A21" s="12" t="inlineStr">
        <is>
          <t>27 – 30 Sep</t>
        </is>
      </c>
      <c r="B21" s="13" t="n">
        <v>4647.14</v>
      </c>
      <c r="C21" s="13" t="n">
        <v>116.18</v>
      </c>
      <c r="D21" s="13" t="n">
        <v>116.18</v>
      </c>
      <c r="E21" s="13" t="n">
        <v>232.36</v>
      </c>
      <c r="F21" s="13" t="n">
        <v>232.36</v>
      </c>
    </row>
    <row r="22">
      <c r="A22" s="17" t="inlineStr">
        <is>
          <t>TOTAL</t>
        </is>
      </c>
      <c r="B22" s="18" t="n">
        <v>36567.28</v>
      </c>
      <c r="C22" s="18" t="n">
        <v>914.1799999999999</v>
      </c>
      <c r="D22" s="18" t="n">
        <v>914.1799999999999</v>
      </c>
      <c r="E22" s="18" t="n">
        <v>1828.36</v>
      </c>
      <c r="F22" s="18" t="n">
        <v>1828.37</v>
      </c>
    </row>
    <row r="24" ht="28" customHeight="1">
      <c r="A24" s="4" t="inlineStr">
        <is>
          <t>•  Taxable value is before tax. GST charged on the customer's bill is the 5% shown; the delivery fee charged by Swiggy is Swiggy's own supply and is not part of your outward supply.</t>
        </is>
      </c>
    </row>
    <row r="25" ht="28" customHeight="1">
      <c r="A25" s="4" t="inlineStr">
        <is>
          <t>•  Under Section 9(5) the ECO is the deemed supplier and pays the tax — the value is still disclosed by you, but no tax is payable by you on it.</t>
        </is>
      </c>
    </row>
    <row r="26" ht="28" customHeight="1">
      <c r="A26" s="4" t="inlineStr">
        <is>
          <t>•  Trade/coupon discounts funded by the restaurant are netted off in the taxable value, consistent with the annexure.</t>
        </is>
      </c>
    </row>
    <row r="27" ht="28" customHeight="1">
      <c r="A27" s="4" t="inlineStr">
        <is>
          <t>•  An order cancelled before pickup (not caused by the restaurant) is compensated at 80% of the order value; GST is discharged on that compensation value, so ₹0.00 of billed value is not reportable for GST (20% of the billed value). An order cancelled by the restaurant has no supply and no GST.</t>
        </is>
      </c>
    </row>
    <row r="29">
      <c r="A29" s="22" t="inlineStr">
        <is>
          <t>Source: Swiggy weekly payout annexures · Prepared 05 October 2026</t>
        </is>
      </c>
    </row>
  </sheetData>
  <mergeCells count="4">
    <mergeCell ref="A27:H27"/>
    <mergeCell ref="A25:H25"/>
    <mergeCell ref="A26:H26"/>
    <mergeCell ref="A24:H24"/>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64" customWidth="1" min="1" max="1"/>
    <col width="70" customWidth="1" min="2" max="2"/>
    <col width="70" customWidth="1" min="3" max="3"/>
    <col width="14" customWidth="1" min="4" max="4"/>
    <col width="14" customWidth="1" min="5" max="5"/>
    <col width="19" customWidth="1" min="6" max="6"/>
  </cols>
  <sheetData>
    <row r="1">
      <c r="A1" s="8" t="inlineStr">
        <is>
          <t>GSTR-3B working — September 2026</t>
        </is>
      </c>
    </row>
    <row r="2">
      <c r="A2" s="2" t="inlineStr">
        <is>
          <t>Table 3.1 and ITC position per the annexures</t>
        </is>
      </c>
    </row>
    <row r="3"/>
    <row r="4" ht="30" customHeight="1">
      <c r="A4" s="6" t="inlineStr">
        <is>
          <t>Table</t>
        </is>
      </c>
      <c r="B4" s="6" t="inlineStr">
        <is>
          <t>Description</t>
        </is>
      </c>
      <c r="C4" s="6" t="inlineStr">
        <is>
          <t>Taxable value</t>
        </is>
      </c>
      <c r="D4" s="6" t="inlineStr">
        <is>
          <t>CGST</t>
        </is>
      </c>
      <c r="E4" s="6" t="inlineStr">
        <is>
          <t>SGST</t>
        </is>
      </c>
      <c r="F4" s="6" t="inlineStr">
        <is>
          <t>Total tax payable</t>
        </is>
      </c>
    </row>
    <row r="5" ht="30" customHeight="1">
      <c r="A5" s="11" t="inlineStr">
        <is>
          <t>3.1(a)</t>
        </is>
      </c>
      <c r="B5" s="11" t="inlineStr">
        <is>
          <t>Outward taxable supplies (other than zero-rated, nil-rated and exempted) — your own direct sales. Add your own figures; not covered by the annexures.</t>
        </is>
      </c>
      <c r="C5" s="28" t="n">
        <v>0</v>
      </c>
      <c r="D5" s="28" t="n">
        <v>0</v>
      </c>
      <c r="E5" s="28" t="n">
        <v>0</v>
      </c>
      <c r="F5" s="28" t="n">
        <v>0</v>
      </c>
    </row>
    <row r="6" ht="30" customHeight="1">
      <c r="A6" s="32" t="inlineStr">
        <is>
          <t>3.1.1(ii)</t>
        </is>
      </c>
      <c r="B6" s="32" t="inlineStr">
        <is>
          <t>Outward taxable supplies made through an e-commerce operator (Swiggy) where the operator is liable to pay tax under Section 9(5)</t>
        </is>
      </c>
      <c r="C6" s="33" t="n">
        <v>36567.28</v>
      </c>
      <c r="D6" s="33" t="n">
        <v>0</v>
      </c>
      <c r="E6" s="33" t="n">
        <v>0</v>
      </c>
      <c r="F6" s="33" t="n">
        <v>0</v>
      </c>
    </row>
    <row r="7" ht="30" customHeight="1">
      <c r="A7" s="11" t="inlineStr">
        <is>
          <t>3.1(c)</t>
        </is>
      </c>
      <c r="B7" s="11" t="inlineStr">
        <is>
          <t>Other outward supplies (nil-rated, exempted) — nil</t>
        </is>
      </c>
      <c r="C7" s="28" t="n">
        <v>0</v>
      </c>
      <c r="D7" s="28" t="n">
        <v>0</v>
      </c>
      <c r="E7" s="28" t="n">
        <v>0</v>
      </c>
      <c r="F7" s="28" t="n">
        <v>0</v>
      </c>
    </row>
    <row r="8"/>
    <row r="9">
      <c r="A9" s="12" t="inlineStr">
        <is>
          <t>Table 3.1.1(ii) value billed to customers</t>
        </is>
      </c>
      <c r="B9" s="13" t="n">
        <v>36567.28</v>
      </c>
      <c r="C9" s="11" t="inlineStr">
        <is>
          <t>Full value of all orders as per the annexures</t>
        </is>
      </c>
    </row>
    <row r="10">
      <c r="A10" s="12" t="inlineStr">
        <is>
          <t>Less: un-compensated 20% of the pre-pickup cancellation</t>
        </is>
      </c>
      <c r="B10" s="13" t="n">
        <v>-0</v>
      </c>
      <c r="C10" s="11" t="inlineStr">
        <is>
          <t>No compensated cancellation in this period</t>
        </is>
      </c>
    </row>
    <row r="11">
      <c r="A11" s="17" t="inlineStr">
        <is>
          <t>Value reportable in Table 3.1.1(ii)</t>
        </is>
      </c>
      <c r="B11" s="18" t="n">
        <v>36567.28</v>
      </c>
      <c r="C11" s="19" t="inlineStr">
        <is>
          <t>₹36,567.28 × 5% = ₹1,828.36, which is exactly the tax Swiggy discharged</t>
        </is>
      </c>
    </row>
    <row r="12"/>
    <row r="13">
      <c r="A13" s="5" t="inlineStr">
        <is>
          <t>Tax payable and payment</t>
        </is>
      </c>
    </row>
    <row r="14" ht="30" customHeight="1">
      <c r="A14" s="6" t="inlineStr">
        <is>
          <t>Particulars</t>
        </is>
      </c>
      <c r="B14" s="6" t="inlineStr">
        <is>
          <t>Amount (₹)</t>
        </is>
      </c>
      <c r="C14" s="6" t="inlineStr">
        <is>
          <t>Remark</t>
        </is>
      </c>
    </row>
    <row r="15" ht="30" customHeight="1">
      <c r="A15" s="12" t="inlineStr">
        <is>
          <t>Output tax on your own supplies</t>
        </is>
      </c>
      <c r="B15" s="10" t="n">
        <v>0</v>
      </c>
      <c r="C15" s="11" t="inlineStr">
        <is>
          <t>Nil as per the annexures — no direct sales figures available</t>
        </is>
      </c>
    </row>
    <row r="16" ht="30" customHeight="1">
      <c r="A16" s="12" t="inlineStr">
        <is>
          <t>Output tax on Swiggy (Section 9(5)) supplies</t>
        </is>
      </c>
      <c r="B16" s="10" t="n">
        <v>0</v>
      </c>
      <c r="C16" s="11" t="inlineStr">
        <is>
          <t>Discharged by Swiggy in cash — ₹1,828.37 retained from the payouts, being 5% of the ₹36,567.28 reportable value</t>
        </is>
      </c>
    </row>
    <row r="17" ht="30" customHeight="1">
      <c r="A17" s="12" t="inlineStr">
        <is>
          <t>Total GST payable in cash by the restaurant</t>
        </is>
      </c>
      <c r="B17" s="10" t="n">
        <v>0</v>
      </c>
      <c r="C17" s="11" t="inlineStr">
        <is>
          <t>No tax is payable by you on the Swiggy supplies</t>
        </is>
      </c>
    </row>
    <row r="18" ht="30" customHeight="1">
      <c r="A18" s="12" t="inlineStr">
        <is>
          <t>ITC available — GST charged by Swiggy on its service fee</t>
        </is>
      </c>
      <c r="B18" s="10" t="n">
        <v>0</v>
      </c>
      <c r="C18" s="11" t="inlineStr">
        <is>
          <t>₹1,658.72 was charged by Swiggy at 18%; ITC is not available to a restaurant at the 5% no-ITC rate</t>
        </is>
      </c>
    </row>
    <row r="19" ht="30" customHeight="1">
      <c r="A19" s="12" t="inlineStr">
        <is>
          <t>ITC available — other inputs</t>
        </is>
      </c>
      <c r="B19" s="10" t="n">
        <v>0</v>
      </c>
      <c r="C19" s="11" t="inlineStr">
        <is>
          <t>Not available at the 5% restaurant rate</t>
        </is>
      </c>
    </row>
    <row r="20" ht="30" customHeight="1">
      <c r="A20" s="12" t="inlineStr">
        <is>
          <t>Net GST payable in cash</t>
        </is>
      </c>
      <c r="B20" s="10" t="n">
        <v>0</v>
      </c>
      <c r="C20" s="11" t="inlineStr">
        <is>
          <t>Nil</t>
        </is>
      </c>
    </row>
    <row r="21"/>
    <row r="22">
      <c r="A22" s="5" t="inlineStr">
        <is>
          <t>Reconciliation of the annexures to the return</t>
        </is>
      </c>
    </row>
    <row r="23" ht="30" customHeight="1">
      <c r="A23" s="6" t="inlineStr">
        <is>
          <t>Particulars</t>
        </is>
      </c>
      <c r="B23" s="6" t="inlineStr">
        <is>
          <t>Amount (₹)</t>
        </is>
      </c>
      <c r="C23" s="6" t="inlineStr">
        <is>
          <t>Remark</t>
        </is>
      </c>
    </row>
    <row r="24">
      <c r="A24" s="12" t="inlineStr">
        <is>
          <t>Gross amount collected from customers</t>
        </is>
      </c>
      <c r="B24" s="13" t="n">
        <v>38395.8</v>
      </c>
      <c r="C24" s="11" t="inlineStr">
        <is>
          <t>Per the Order Level sheets</t>
        </is>
      </c>
    </row>
    <row r="25">
      <c r="A25" s="12" t="inlineStr">
        <is>
          <t>Less: Swiggy fees — commission and payment collection (line B)</t>
        </is>
      </c>
      <c r="B25" s="13" t="n">
        <v>-9216.389999999999</v>
      </c>
      <c r="C25" s="11" t="inlineStr">
        <is>
          <t>Swiggy's consideration for its services, excluding the GST charged on those fees</t>
        </is>
      </c>
    </row>
    <row r="26">
      <c r="A26" s="12" t="inlineStr">
        <is>
          <t>Less: GST retained and discharged by Swiggy under Section 9(5)</t>
        </is>
      </c>
      <c r="B26" s="13" t="n">
        <v>-1828.37</v>
      </c>
      <c r="C26" s="11" t="inlineStr">
        <is>
          <t>The 5% GST on the food supply, deposited by Swiggy on your behalf</t>
        </is>
      </c>
    </row>
    <row r="27">
      <c r="A27" s="12" t="inlineStr">
        <is>
          <t>Less: GST charged by Swiggy on its own service fee @18%</t>
        </is>
      </c>
      <c r="B27" s="13" t="n">
        <v>-1658.72</v>
      </c>
      <c r="C27" s="11" t="inlineStr">
        <is>
          <t>Swiggy's output tax recovered from you; not claimable as ITC at the 5% rate</t>
        </is>
      </c>
    </row>
    <row r="28">
      <c r="A28" s="12" t="inlineStr">
        <is>
          <t>Less: TDS under Section 194-O</t>
        </is>
      </c>
      <c r="B28" s="13" t="n">
        <v>-36.63</v>
      </c>
      <c r="C28" s="11" t="inlineStr">
        <is>
          <t>Income-tax TDS deducted by Swiggy</t>
        </is>
      </c>
    </row>
    <row r="29">
      <c r="A29" s="12" t="inlineStr">
        <is>
          <t>Less: complaint &amp; cancellation charges (line C)</t>
        </is>
      </c>
      <c r="B29" s="13" t="n">
        <v>-0</v>
      </c>
      <c r="C29" s="11" t="inlineStr">
        <is>
          <t>Net of the cancelled order in the 01–05 Sep cycle</t>
        </is>
      </c>
    </row>
    <row r="30">
      <c r="A30" s="12" t="inlineStr">
        <is>
          <t>Less: ads investment recovered (line D)</t>
        </is>
      </c>
      <c r="B30" s="13" t="n">
        <v>-238.36</v>
      </c>
      <c r="C30" s="11" t="inlineStr">
        <is>
          <t>Restaurant-level deduction</t>
        </is>
      </c>
    </row>
    <row r="31">
      <c r="A31" s="17" t="inlineStr">
        <is>
          <t>Net payouts credited by Swiggy (per the annexures)</t>
        </is>
      </c>
      <c r="B31" s="18" t="n">
        <v>25416.9</v>
      </c>
      <c r="C31" s="19" t="inlineStr">
        <is>
          <t>Component-wise total is ₹25,417.33; the ₹-0.43 difference is Swiggy's own paise rounding in the annexures</t>
        </is>
      </c>
    </row>
    <row r="33">
      <c r="A33" s="22" t="inlineStr">
        <is>
          <t>Source: Swiggy weekly payout annexures · Prepared 05 October 2026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cols>
    <col width="60" customWidth="1" min="1" max="1"/>
    <col width="17" customWidth="1" min="2" max="2"/>
    <col width="60" customWidth="1" min="3" max="3"/>
    <col width="31" customWidth="1" min="4" max="4"/>
    <col width="60" customWidth="1" min="5" max="5"/>
    <col width="25" customWidth="1" min="6" max="6"/>
    <col width="52" customWidth="1" min="7" max="7"/>
    <col width="40" customWidth="1" min="8" max="8"/>
  </cols>
  <sheetData>
    <row r="1">
      <c r="A1" s="8" t="inlineStr">
        <is>
          <t>Section 9(5) — GST billed vs GST discharged by Swiggy</t>
        </is>
      </c>
    </row>
    <row r="2">
      <c r="A2" s="2" t="inlineStr">
        <is>
          <t>Swiggy retains the tax from the payout and deposits it on the restaurant's behalf</t>
        </is>
      </c>
    </row>
    <row r="3"/>
    <row r="4" ht="30" customHeight="1">
      <c r="A4" s="4" t="inlineStr">
        <is>
          <t>No pre-pickup cancellation was compensated in this period, so the GST billed equals the GST discharged.</t>
        </is>
      </c>
    </row>
    <row r="5"/>
    <row r="6" ht="30" customHeight="1">
      <c r="A6" s="6" t="inlineStr">
        <is>
          <t>Payout period</t>
        </is>
      </c>
      <c r="B6" s="6" t="inlineStr">
        <is>
          <t>Billed value</t>
        </is>
      </c>
      <c r="C6" s="6" t="inlineStr">
        <is>
          <t>Cancellation adjustment (value)</t>
        </is>
      </c>
      <c r="D6" s="6" t="inlineStr">
        <is>
          <t>GST on the un-compensated 20%</t>
        </is>
      </c>
      <c r="E6" s="6" t="inlineStr">
        <is>
          <t>Complaint &amp; cancellation charges deducted</t>
        </is>
      </c>
      <c r="F6" s="6" t="inlineStr">
        <is>
          <t>GST on reportable value</t>
        </is>
      </c>
      <c r="G6" s="6" t="inlineStr">
        <is>
          <t>GST discharged by Swiggy</t>
        </is>
      </c>
      <c r="H6" s="6" t="inlineStr">
        <is>
          <t>Remark</t>
        </is>
      </c>
    </row>
    <row r="7" ht="24" customHeight="1">
      <c r="A7" s="12" t="inlineStr">
        <is>
          <t>01 – 05 Sep</t>
        </is>
      </c>
      <c r="B7" s="13" t="n">
        <v>9008</v>
      </c>
      <c r="C7" s="13" t="n">
        <v>-0</v>
      </c>
      <c r="D7" s="13" t="n">
        <v>0</v>
      </c>
      <c r="E7" s="13" t="n">
        <v>0</v>
      </c>
      <c r="F7" s="13" t="n">
        <v>450.4</v>
      </c>
      <c r="G7" s="13" t="n">
        <v>450.4</v>
      </c>
      <c r="H7" s="12" t="inlineStr">
        <is>
          <t>Agrees to the paisa</t>
        </is>
      </c>
    </row>
    <row r="8" ht="24" customHeight="1">
      <c r="A8" s="12" t="inlineStr">
        <is>
          <t>06 – 12 Sep</t>
        </is>
      </c>
      <c r="B8" s="13" t="n">
        <v>9165</v>
      </c>
      <c r="C8" s="13" t="n">
        <v>-0</v>
      </c>
      <c r="D8" s="13" t="n">
        <v>0</v>
      </c>
      <c r="E8" s="13" t="n">
        <v>0</v>
      </c>
      <c r="F8" s="13" t="n">
        <v>458.25</v>
      </c>
      <c r="G8" s="13" t="n">
        <v>458.25</v>
      </c>
      <c r="H8" s="12" t="inlineStr">
        <is>
          <t>Agrees to the paisa</t>
        </is>
      </c>
    </row>
    <row r="9" ht="24" customHeight="1">
      <c r="A9" s="12" t="inlineStr">
        <is>
          <t>13 – 19 Sep</t>
        </is>
      </c>
      <c r="B9" s="13" t="n">
        <v>8702.139999999999</v>
      </c>
      <c r="C9" s="13" t="n">
        <v>-0</v>
      </c>
      <c r="D9" s="13" t="n">
        <v>0</v>
      </c>
      <c r="E9" s="13" t="n">
        <v>0</v>
      </c>
      <c r="F9" s="13" t="n">
        <v>435.11</v>
      </c>
      <c r="G9" s="13" t="n">
        <v>435.11</v>
      </c>
      <c r="H9" s="12" t="inlineStr">
        <is>
          <t>Agrees to the paisa</t>
        </is>
      </c>
    </row>
    <row r="10" ht="24" customHeight="1">
      <c r="A10" s="12" t="inlineStr">
        <is>
          <t>20 – 26 Sep</t>
        </is>
      </c>
      <c r="B10" s="13" t="n">
        <v>5045</v>
      </c>
      <c r="C10" s="13" t="n">
        <v>-0</v>
      </c>
      <c r="D10" s="13" t="n">
        <v>0</v>
      </c>
      <c r="E10" s="13" t="n">
        <v>0</v>
      </c>
      <c r="F10" s="13" t="n">
        <v>252.25</v>
      </c>
      <c r="G10" s="13" t="n">
        <v>252.25</v>
      </c>
      <c r="H10" s="12" t="inlineStr">
        <is>
          <t>Agrees to the paisa</t>
        </is>
      </c>
    </row>
    <row r="11" ht="24" customHeight="1">
      <c r="A11" s="12" t="inlineStr">
        <is>
          <t>27 – 30 Sep</t>
        </is>
      </c>
      <c r="B11" s="13" t="n">
        <v>4647.14</v>
      </c>
      <c r="C11" s="13" t="n">
        <v>-0</v>
      </c>
      <c r="D11" s="13" t="n">
        <v>0</v>
      </c>
      <c r="E11" s="13" t="n">
        <v>0</v>
      </c>
      <c r="F11" s="13" t="n">
        <v>232.36</v>
      </c>
      <c r="G11" s="13" t="n">
        <v>232.36</v>
      </c>
      <c r="H11" s="12" t="inlineStr">
        <is>
          <t>Agrees to the paisa</t>
        </is>
      </c>
    </row>
    <row r="12">
      <c r="A12" s="17" t="inlineStr">
        <is>
          <t>TOTAL</t>
        </is>
      </c>
      <c r="B12" s="18" t="n">
        <v>36567.28</v>
      </c>
      <c r="C12" s="18" t="n">
        <v>-0</v>
      </c>
      <c r="D12" s="18" t="n">
        <v>0</v>
      </c>
      <c r="E12" s="18" t="n">
        <v>0</v>
      </c>
      <c r="F12" s="18" t="n">
        <v>1828.36</v>
      </c>
      <c r="G12" s="18" t="n">
        <v>1828.37</v>
      </c>
      <c r="H12" s="17" t="inlineStr">
        <is>
          <t>GST discharged = 5% × reportable value</t>
        </is>
      </c>
    </row>
    <row r="13"/>
    <row r="14">
      <c r="A14" s="5" t="inlineStr">
        <is>
          <t>Reconciliation of the difference between GST billed to customers and GST discharged</t>
        </is>
      </c>
    </row>
    <row r="15" ht="30" customHeight="1">
      <c r="A15" s="6" t="inlineStr">
        <is>
          <t>Particulars</t>
        </is>
      </c>
      <c r="B15" s="6" t="inlineStr">
        <is>
          <t>Amount (₹)</t>
        </is>
      </c>
      <c r="C15" s="6" t="inlineStr">
        <is>
          <t>Remark</t>
        </is>
      </c>
    </row>
    <row r="16" ht="28" customHeight="1">
      <c r="A16" s="12" t="inlineStr">
        <is>
          <t>GST collected from customers on the billed value</t>
        </is>
      </c>
      <c r="B16" s="13" t="n">
        <v>1828.52</v>
      </c>
      <c r="C16" s="11" t="inlineStr">
        <is>
          <t>5% charged on the full value of every order, as shown to the customer</t>
        </is>
      </c>
    </row>
    <row r="17" ht="28" customHeight="1">
      <c r="A17" s="12" t="inlineStr">
        <is>
          <t>Less: GST on the un-compensated 20% of the cancelled order</t>
        </is>
      </c>
      <c r="B17" s="13" t="n">
        <v>0</v>
      </c>
      <c r="C17" s="11" t="inlineStr">
        <is>
          <t>Order n/a — ₹0.00 × 5% = ₹0.00. This GST is not payable (the 20% is not a supply) and is deducted from the payout inside the ₹0.00 'Complaint &amp; Cancellation Charges' amount</t>
        </is>
      </c>
    </row>
    <row r="18" ht="28" customHeight="1">
      <c r="A18" s="12" t="inlineStr">
        <is>
          <t>Less: paise rounding on the individual orders</t>
        </is>
      </c>
      <c r="B18" s="13" t="n">
        <v>-0.15</v>
      </c>
      <c r="C18" s="11" t="inlineStr">
        <is>
          <t>Each order's GST is rounded to the nearest paisa in the annexure (about ₹0.01 × 15 orders)</t>
        </is>
      </c>
    </row>
    <row r="19" ht="28" customHeight="1">
      <c r="A19" s="17" t="inlineStr">
        <is>
          <t>GST discharged by Swiggy (per the annexures)</t>
        </is>
      </c>
      <c r="B19" s="18" t="n">
        <v>1828.37</v>
      </c>
      <c r="C19" s="19" t="inlineStr">
        <is>
          <t>Agrees with 5% of the ₹36,567.28 reportable value</t>
        </is>
      </c>
    </row>
    <row r="20"/>
    <row r="21"/>
    <row r="22">
      <c r="A22" s="5" t="inlineStr">
        <is>
          <t>Order-wise detail — every order where GST billed differs from GST discharged</t>
        </is>
      </c>
    </row>
    <row r="23" ht="30" customHeight="1">
      <c r="A23" s="6" t="inlineStr">
        <is>
          <t>Payout period</t>
        </is>
      </c>
      <c r="B23" s="6" t="inlineStr">
        <is>
          <t>Order ID</t>
        </is>
      </c>
      <c r="C23" s="6" t="inlineStr">
        <is>
          <t>Order status</t>
        </is>
      </c>
      <c r="D23" s="6" t="inlineStr">
        <is>
          <t>GST collected</t>
        </is>
      </c>
      <c r="E23" s="6" t="inlineStr">
        <is>
          <t>GST retained</t>
        </is>
      </c>
      <c r="F23" s="6" t="inlineStr">
        <is>
          <t>Difference</t>
        </is>
      </c>
      <c r="G23" s="6" t="inlineStr">
        <is>
          <t>Remark</t>
        </is>
      </c>
    </row>
    <row r="24" ht="24" customHeight="1">
      <c r="A24" s="12" t="inlineStr">
        <is>
          <t>06 – 12 Sep</t>
        </is>
      </c>
      <c r="B24" s="12" t="inlineStr">
        <is>
          <t>247670262146343</t>
        </is>
      </c>
      <c r="C24" s="12" t="inlineStr">
        <is>
          <t>delivered</t>
        </is>
      </c>
      <c r="D24" s="13" t="n">
        <v>27.76</v>
      </c>
      <c r="E24" s="13" t="n">
        <v>27.75</v>
      </c>
      <c r="F24" s="13" t="n">
        <v>0.01</v>
      </c>
      <c r="G24" s="12" t="inlineStr">
        <is>
          <t>Paise rounding</t>
        </is>
      </c>
    </row>
    <row r="25" ht="24" customHeight="1">
      <c r="A25" s="12" t="inlineStr">
        <is>
          <t>06 – 12 Sep</t>
        </is>
      </c>
      <c r="B25" s="12" t="inlineStr">
        <is>
          <t>247684179199414</t>
        </is>
      </c>
      <c r="C25" s="12" t="inlineStr">
        <is>
          <t>delivered</t>
        </is>
      </c>
      <c r="D25" s="13" t="n">
        <v>12.76</v>
      </c>
      <c r="E25" s="13" t="n">
        <v>12.75</v>
      </c>
      <c r="F25" s="13" t="n">
        <v>0.01</v>
      </c>
      <c r="G25" s="12" t="inlineStr">
        <is>
          <t>Paise rounding</t>
        </is>
      </c>
    </row>
    <row r="26" ht="24" customHeight="1">
      <c r="A26" s="12" t="inlineStr">
        <is>
          <t>06 – 12 Sep</t>
        </is>
      </c>
      <c r="B26" s="12" t="inlineStr">
        <is>
          <t>247832763145394</t>
        </is>
      </c>
      <c r="C26" s="12" t="inlineStr">
        <is>
          <t>delivered</t>
        </is>
      </c>
      <c r="D26" s="13" t="n">
        <v>12.76</v>
      </c>
      <c r="E26" s="13" t="n">
        <v>12.75</v>
      </c>
      <c r="F26" s="13" t="n">
        <v>0.01</v>
      </c>
      <c r="G26" s="12" t="inlineStr">
        <is>
          <t>Paise rounding</t>
        </is>
      </c>
    </row>
    <row r="27" ht="24" customHeight="1">
      <c r="A27" s="12" t="inlineStr">
        <is>
          <t>06 – 12 Sep</t>
        </is>
      </c>
      <c r="B27" s="12" t="inlineStr">
        <is>
          <t>248111600195668</t>
        </is>
      </c>
      <c r="C27" s="12" t="inlineStr">
        <is>
          <t>delivered</t>
        </is>
      </c>
      <c r="D27" s="13" t="n">
        <v>50.26</v>
      </c>
      <c r="E27" s="13" t="n">
        <v>50.25</v>
      </c>
      <c r="F27" s="13" t="n">
        <v>0.01</v>
      </c>
      <c r="G27" s="12" t="inlineStr">
        <is>
          <t>Paise rounding</t>
        </is>
      </c>
    </row>
    <row r="28" ht="24" customHeight="1">
      <c r="A28" s="12" t="inlineStr">
        <is>
          <t>06 – 12 Sep</t>
        </is>
      </c>
      <c r="B28" s="12" t="inlineStr">
        <is>
          <t>248187493194729</t>
        </is>
      </c>
      <c r="C28" s="12" t="inlineStr">
        <is>
          <t>delivered</t>
        </is>
      </c>
      <c r="D28" s="13" t="n">
        <v>27.26</v>
      </c>
      <c r="E28" s="13" t="n">
        <v>27.25</v>
      </c>
      <c r="F28" s="13" t="n">
        <v>0.01</v>
      </c>
      <c r="G28" s="12" t="inlineStr">
        <is>
          <t>Paise rounding</t>
        </is>
      </c>
    </row>
    <row r="29" ht="24" customHeight="1">
      <c r="A29" s="12" t="inlineStr">
        <is>
          <t>13 – 19 Sep</t>
        </is>
      </c>
      <c r="B29" s="12" t="inlineStr">
        <is>
          <t>248285785125021</t>
        </is>
      </c>
      <c r="C29" s="12" t="inlineStr">
        <is>
          <t>delivered</t>
        </is>
      </c>
      <c r="D29" s="13" t="n">
        <v>12.76</v>
      </c>
      <c r="E29" s="13" t="n">
        <v>12.75</v>
      </c>
      <c r="F29" s="13" t="n">
        <v>0.01</v>
      </c>
      <c r="G29" s="12" t="inlineStr">
        <is>
          <t>Paise rounding</t>
        </is>
      </c>
    </row>
    <row r="30" ht="24" customHeight="1">
      <c r="A30" s="34" t="inlineStr">
        <is>
          <t>13 – 19 Sep</t>
        </is>
      </c>
      <c r="B30" s="34" t="inlineStr">
        <is>
          <t>248375315143844</t>
        </is>
      </c>
      <c r="C30" s="34" t="inlineStr">
        <is>
          <t>cancelled</t>
        </is>
      </c>
      <c r="D30" s="35" t="n">
        <v>12.76</v>
      </c>
      <c r="E30" s="35" t="n">
        <v>12.75</v>
      </c>
      <c r="F30" s="35" t="n">
        <v>0.01</v>
      </c>
      <c r="G30" s="34" t="inlineStr">
        <is>
          <t>Cancelled by Swiggy — no supply and no GST discharged; only the restaurant cancellation charge applies</t>
        </is>
      </c>
    </row>
    <row r="31" ht="24" customHeight="1">
      <c r="A31" s="12" t="inlineStr">
        <is>
          <t>13 – 19 Sep</t>
        </is>
      </c>
      <c r="B31" s="12" t="inlineStr">
        <is>
          <t>248533160152104</t>
        </is>
      </c>
      <c r="C31" s="12" t="inlineStr">
        <is>
          <t>delivered</t>
        </is>
      </c>
      <c r="D31" s="13" t="n">
        <v>41.26</v>
      </c>
      <c r="E31" s="13" t="n">
        <v>41.25</v>
      </c>
      <c r="F31" s="13" t="n">
        <v>0.01</v>
      </c>
      <c r="G31" s="12" t="inlineStr">
        <is>
          <t>Paise rounding</t>
        </is>
      </c>
    </row>
    <row r="32" ht="24" customHeight="1">
      <c r="A32" s="12" t="inlineStr">
        <is>
          <t>13 – 19 Sep</t>
        </is>
      </c>
      <c r="B32" s="12" t="inlineStr">
        <is>
          <t>248624481174640</t>
        </is>
      </c>
      <c r="C32" s="12" t="inlineStr">
        <is>
          <t>delivered</t>
        </is>
      </c>
      <c r="D32" s="13" t="n">
        <v>33.76</v>
      </c>
      <c r="E32" s="13" t="n">
        <v>33.75</v>
      </c>
      <c r="F32" s="13" t="n">
        <v>0.01</v>
      </c>
      <c r="G32" s="12" t="inlineStr">
        <is>
          <t>Paise rounding</t>
        </is>
      </c>
    </row>
    <row r="33" ht="24" customHeight="1">
      <c r="A33" s="12" t="inlineStr">
        <is>
          <t>13 – 19 Sep</t>
        </is>
      </c>
      <c r="B33" s="12" t="inlineStr">
        <is>
          <t>248780545123593</t>
        </is>
      </c>
      <c r="C33" s="12" t="inlineStr">
        <is>
          <t>delivered</t>
        </is>
      </c>
      <c r="D33" s="13" t="n">
        <v>27.26</v>
      </c>
      <c r="E33" s="13" t="n">
        <v>27.25</v>
      </c>
      <c r="F33" s="13" t="n">
        <v>0.01</v>
      </c>
      <c r="G33" s="12" t="inlineStr">
        <is>
          <t>Paise rounding</t>
        </is>
      </c>
    </row>
    <row r="34" ht="24" customHeight="1">
      <c r="A34" s="12" t="inlineStr">
        <is>
          <t>20 – 26 Sep</t>
        </is>
      </c>
      <c r="B34" s="12" t="inlineStr">
        <is>
          <t>248967728138197</t>
        </is>
      </c>
      <c r="C34" s="12" t="inlineStr">
        <is>
          <t>delivered</t>
        </is>
      </c>
      <c r="D34" s="13" t="n">
        <v>12.76</v>
      </c>
      <c r="E34" s="13" t="n">
        <v>12.75</v>
      </c>
      <c r="F34" s="13" t="n">
        <v>0.01</v>
      </c>
      <c r="G34" s="12" t="inlineStr">
        <is>
          <t>Paise rounding</t>
        </is>
      </c>
    </row>
    <row r="35" ht="24" customHeight="1">
      <c r="A35" s="12" t="inlineStr">
        <is>
          <t>20 – 26 Sep</t>
        </is>
      </c>
      <c r="B35" s="12" t="inlineStr">
        <is>
          <t>249221271120642</t>
        </is>
      </c>
      <c r="C35" s="12" t="inlineStr">
        <is>
          <t>delivered</t>
        </is>
      </c>
      <c r="D35" s="13" t="n">
        <v>29.76</v>
      </c>
      <c r="E35" s="13" t="n">
        <v>29.75</v>
      </c>
      <c r="F35" s="13" t="n">
        <v>0.01</v>
      </c>
      <c r="G35" s="12" t="inlineStr">
        <is>
          <t>Paise rounding</t>
        </is>
      </c>
    </row>
    <row r="36" ht="24" customHeight="1">
      <c r="A36" s="12" t="inlineStr">
        <is>
          <t>20 – 26 Sep</t>
        </is>
      </c>
      <c r="B36" s="12" t="inlineStr">
        <is>
          <t>249224015143912</t>
        </is>
      </c>
      <c r="C36" s="12" t="inlineStr">
        <is>
          <t>delivered</t>
        </is>
      </c>
      <c r="D36" s="13" t="n">
        <v>29.26</v>
      </c>
      <c r="E36" s="13" t="n">
        <v>29.25</v>
      </c>
      <c r="F36" s="13" t="n">
        <v>0.01</v>
      </c>
      <c r="G36" s="12" t="inlineStr">
        <is>
          <t>Paise rounding</t>
        </is>
      </c>
    </row>
    <row r="37" ht="24" customHeight="1">
      <c r="A37" s="12" t="inlineStr">
        <is>
          <t>27 – 30 Sep</t>
        </is>
      </c>
      <c r="B37" s="12" t="inlineStr">
        <is>
          <t>249474900177255</t>
        </is>
      </c>
      <c r="C37" s="12" t="inlineStr">
        <is>
          <t>delivered</t>
        </is>
      </c>
      <c r="D37" s="13" t="n">
        <v>27.76</v>
      </c>
      <c r="E37" s="13" t="n">
        <v>27.75</v>
      </c>
      <c r="F37" s="13" t="n">
        <v>0.01</v>
      </c>
      <c r="G37" s="12" t="inlineStr">
        <is>
          <t>Paise rounding</t>
        </is>
      </c>
    </row>
    <row r="38" ht="24" customHeight="1">
      <c r="A38" s="12" t="inlineStr">
        <is>
          <t>27 – 30 Sep</t>
        </is>
      </c>
      <c r="B38" s="12" t="inlineStr">
        <is>
          <t>249581223133346</t>
        </is>
      </c>
      <c r="C38" s="12" t="inlineStr">
        <is>
          <t>delivered</t>
        </is>
      </c>
      <c r="D38" s="13" t="n">
        <v>12.76</v>
      </c>
      <c r="E38" s="13" t="n">
        <v>12.75</v>
      </c>
      <c r="F38" s="13" t="n">
        <v>0.01</v>
      </c>
      <c r="G38" s="12" t="inlineStr">
        <is>
          <t>Paise rounding</t>
        </is>
      </c>
    </row>
    <row r="39"/>
    <row r="40">
      <c r="A40" s="5" t="inlineStr">
        <is>
          <t>What this means</t>
        </is>
      </c>
    </row>
    <row r="41" ht="28" customHeight="1">
      <c r="A41" s="4" t="inlineStr">
        <is>
          <t>•  Swiggy collects 5% GST from the customer and retains it from the payout — the restaurant does not pay this tax again.</t>
        </is>
      </c>
    </row>
    <row r="42" ht="28" customHeight="1">
      <c r="A42" s="4" t="inlineStr">
        <is>
          <t>•  On a pre-pickup cancellation the tax is discharged on the 80% compensation value, not on the full value the customer paid; that is the single reason the GST discharged is ₹0.00 lower than the GST billed in this period. The remaining ₹0.15 is paise rounding inside the annexures.</t>
        </is>
      </c>
    </row>
    <row r="43" ht="28" customHeight="1">
      <c r="A43" s="4" t="inlineStr">
        <is>
          <t>•  Because the timing of the retained amount follows the payout cycle (not necessarily the order date), use the annexure cycle as the basis for the monthly reconciliation and keep this working as supporting evidence.</t>
        </is>
      </c>
    </row>
    <row r="45">
      <c r="A45" s="22" t="inlineStr">
        <is>
          <t>Source: Swiggy weekly payout annexures · Prepared 05 October 2026</t>
        </is>
      </c>
    </row>
  </sheetData>
  <mergeCells count="4">
    <mergeCell ref="A43:G43"/>
    <mergeCell ref="A4:H4"/>
    <mergeCell ref="A41:G41"/>
    <mergeCell ref="A42:G4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E25"/>
  <sheetViews>
    <sheetView workbookViewId="0">
      <selection activeCell="A1" sqref="A1"/>
    </sheetView>
  </sheetViews>
  <sheetFormatPr baseColWidth="8" defaultRowHeight="15"/>
  <cols>
    <col width="70" customWidth="1" min="1" max="1"/>
    <col width="26" customWidth="1" min="2" max="2"/>
    <col width="70" customWidth="1" min="3" max="3"/>
    <col width="23" customWidth="1" min="4" max="4"/>
    <col width="70" customWidth="1" min="5" max="5"/>
  </cols>
  <sheetData>
    <row r="1">
      <c r="A1" s="8" t="inlineStr">
        <is>
          <t>TCS and TDS</t>
        </is>
      </c>
    </row>
    <row r="2">
      <c r="A2" s="2" t="inlineStr">
        <is>
          <t>Two different deductions — do not net them off</t>
        </is>
      </c>
    </row>
    <row r="3"/>
    <row r="4">
      <c r="A4" s="5" t="inlineStr">
        <is>
          <t>A. TCS under Section 52 of the CGST Act — GST law</t>
        </is>
      </c>
    </row>
    <row r="5" ht="30" customHeight="1">
      <c r="A5" s="6" t="inlineStr">
        <is>
          <t>Payout period</t>
        </is>
      </c>
      <c r="B5" s="6" t="inlineStr">
        <is>
          <t>TCS deducted (₹)</t>
        </is>
      </c>
      <c r="C5" s="6" t="inlineStr">
        <is>
          <t>Remark</t>
        </is>
      </c>
    </row>
    <row r="6">
      <c r="A6" s="12" t="inlineStr">
        <is>
          <t>01 – 05 Sep</t>
        </is>
      </c>
      <c r="B6" s="13" t="n">
        <v>0</v>
      </c>
      <c r="C6" s="12" t="inlineStr">
        <is>
          <t>Nil — the annexure reports no TCS</t>
        </is>
      </c>
    </row>
    <row r="7">
      <c r="A7" s="12" t="inlineStr">
        <is>
          <t>06 – 12 Sep</t>
        </is>
      </c>
      <c r="B7" s="13" t="n">
        <v>0</v>
      </c>
      <c r="C7" s="12" t="inlineStr">
        <is>
          <t>Nil — the annexure reports no TCS</t>
        </is>
      </c>
    </row>
    <row r="8">
      <c r="A8" s="12" t="inlineStr">
        <is>
          <t>13 – 19 Sep</t>
        </is>
      </c>
      <c r="B8" s="13" t="n">
        <v>0</v>
      </c>
      <c r="C8" s="12" t="inlineStr">
        <is>
          <t>Nil — the annexure reports no TCS</t>
        </is>
      </c>
    </row>
    <row r="9">
      <c r="A9" s="12" t="inlineStr">
        <is>
          <t>20 – 26 Sep</t>
        </is>
      </c>
      <c r="B9" s="13" t="n">
        <v>0</v>
      </c>
      <c r="C9" s="12" t="inlineStr">
        <is>
          <t>Nil — the annexure reports no TCS</t>
        </is>
      </c>
    </row>
    <row r="10">
      <c r="A10" s="12" t="inlineStr">
        <is>
          <t>27 – 30 Sep</t>
        </is>
      </c>
      <c r="B10" s="13" t="n">
        <v>0</v>
      </c>
      <c r="C10" s="12" t="inlineStr">
        <is>
          <t>Nil — the annexure reports no TCS</t>
        </is>
      </c>
    </row>
    <row r="11" ht="32" customHeight="1">
      <c r="A11" s="36" t="inlineStr">
        <is>
          <t>TOTAL</t>
        </is>
      </c>
      <c r="B11" s="37" t="n">
        <v>0</v>
      </c>
      <c r="C11" s="36" t="inlineStr">
        <is>
          <t>TCS under Section 52 does not apply to restaurant services notified under Section 9(5) — Circular 167/23/2021-GST dated 17 Dec 2021</t>
        </is>
      </c>
    </row>
    <row r="12"/>
    <row r="13">
      <c r="A13" s="5" t="inlineStr">
        <is>
          <t>B. TDS under Section 194-O of the Income-tax Act — income tax</t>
        </is>
      </c>
    </row>
    <row r="14" ht="30" customHeight="1">
      <c r="A14" s="6" t="inlineStr">
        <is>
          <t>Payout period</t>
        </is>
      </c>
      <c r="B14" s="6" t="inlineStr">
        <is>
          <t>Reportable value (basis)</t>
        </is>
      </c>
      <c r="C14" s="6" t="inlineStr">
        <is>
          <t>TDS deducted</t>
        </is>
      </c>
      <c r="D14" s="6" t="inlineStr">
        <is>
          <t>Effective rate</t>
        </is>
      </c>
      <c r="E14" s="6" t="inlineStr">
        <is>
          <t>Remark</t>
        </is>
      </c>
    </row>
    <row r="15">
      <c r="A15" s="12" t="inlineStr">
        <is>
          <t>01 – 05 Sep</t>
        </is>
      </c>
      <c r="B15" s="13" t="n">
        <v>9008</v>
      </c>
      <c r="C15" s="13" t="n">
        <v>9.01</v>
      </c>
      <c r="D15" s="38" t="n">
        <v>0.001000222024866785</v>
      </c>
      <c r="E15" s="12" t="inlineStr">
        <is>
          <t>Credit available in Form 26AS / AIS</t>
        </is>
      </c>
    </row>
    <row r="16">
      <c r="A16" s="12" t="inlineStr">
        <is>
          <t>06 – 12 Sep</t>
        </is>
      </c>
      <c r="B16" s="13" t="n">
        <v>9165</v>
      </c>
      <c r="C16" s="13" t="n">
        <v>9.19</v>
      </c>
      <c r="D16" s="38" t="n">
        <v>0.001002727768685215</v>
      </c>
      <c r="E16" s="12" t="inlineStr">
        <is>
          <t>Credit available in Form 26AS / AIS</t>
        </is>
      </c>
    </row>
    <row r="17">
      <c r="A17" s="12" t="inlineStr">
        <is>
          <t>13 – 19 Sep</t>
        </is>
      </c>
      <c r="B17" s="13" t="n">
        <v>8702.139999999999</v>
      </c>
      <c r="C17" s="13" t="n">
        <v>8.73</v>
      </c>
      <c r="D17" s="38" t="n">
        <v>0.00100320151135238</v>
      </c>
      <c r="E17" s="12" t="inlineStr">
        <is>
          <t>Credit available in Form 26AS / AIS</t>
        </is>
      </c>
    </row>
    <row r="18">
      <c r="A18" s="12" t="inlineStr">
        <is>
          <t>20 – 26 Sep</t>
        </is>
      </c>
      <c r="B18" s="13" t="n">
        <v>5045</v>
      </c>
      <c r="C18" s="13" t="n">
        <v>5.04</v>
      </c>
      <c r="D18" s="38" t="n">
        <v>0.0009990089197224976</v>
      </c>
      <c r="E18" s="12" t="inlineStr">
        <is>
          <t>Credit available in Form 26AS / AIS</t>
        </is>
      </c>
    </row>
    <row r="19">
      <c r="A19" s="12" t="inlineStr">
        <is>
          <t>27 – 30 Sep</t>
        </is>
      </c>
      <c r="B19" s="13" t="n">
        <v>4647.14</v>
      </c>
      <c r="C19" s="13" t="n">
        <v>4.66</v>
      </c>
      <c r="D19" s="38" t="n">
        <v>0.001002767293432089</v>
      </c>
      <c r="E19" s="12" t="inlineStr">
        <is>
          <t>Credit available in Form 26AS / AIS</t>
        </is>
      </c>
    </row>
    <row r="20">
      <c r="A20" s="17" t="inlineStr">
        <is>
          <t>TOTAL</t>
        </is>
      </c>
      <c r="B20" s="18" t="n">
        <v>36567.28</v>
      </c>
      <c r="C20" s="18" t="n">
        <v>36.63</v>
      </c>
      <c r="D20" s="39" t="n">
        <v>0.001001715194567384</v>
      </c>
      <c r="E20" s="17" t="inlineStr">
        <is>
          <t>Reconcile with Form 26AS / AIS and claim while filing the income-tax return</t>
        </is>
      </c>
    </row>
    <row r="21"/>
    <row r="22" ht="28" customHeight="1">
      <c r="A22" s="4" t="inlineStr">
        <is>
          <t>•  TDS is deducted at 0.1% of the supply value net of taxes.</t>
        </is>
      </c>
    </row>
    <row r="23" ht="28" customHeight="1">
      <c r="A23" s="4" t="inlineStr">
        <is>
          <t>•  Verify the rate applied by Swiggy against your PAN status on the TRACES portal.</t>
        </is>
      </c>
    </row>
    <row r="24" ht="28" customHeight="1">
      <c r="A24" s="4" t="inlineStr">
        <is>
          <t>•  TDS is an income-tax credit, not a GST item; it must not be treated as a tax cost in the GST working.</t>
        </is>
      </c>
    </row>
    <row r="25" ht="28" customHeight="1">
      <c r="A25" s="4" t="inlineStr">
        <is>
          <t>•  TCS being nil is correct for these orders — do not expect any GST TCS credit in GSTR-2B for this month.</t>
        </is>
      </c>
    </row>
  </sheetData>
  <mergeCells count="4">
    <mergeCell ref="A22:E22"/>
    <mergeCell ref="A23:E23"/>
    <mergeCell ref="A25:E25"/>
    <mergeCell ref="A24:E24"/>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R8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17" customWidth="1" min="2" max="2"/>
    <col width="18" customWidth="1" min="3" max="3"/>
    <col width="11" customWidth="1" min="4" max="4"/>
    <col width="12" customWidth="1" min="5" max="5"/>
    <col width="18" customWidth="1" min="6" max="6"/>
    <col width="14" customWidth="1" min="7" max="7"/>
    <col width="8" customWidth="1" min="8" max="8"/>
    <col width="14" customWidth="1" min="9" max="9"/>
    <col width="16" customWidth="1" min="10" max="10"/>
    <col width="12" customWidth="1" min="11" max="11"/>
    <col width="11" customWidth="1" min="12" max="12"/>
    <col width="11" customWidth="1" min="13" max="13"/>
    <col width="16" customWidth="1" min="14" max="14"/>
    <col width="11" customWidth="1" min="15" max="15"/>
    <col width="12" customWidth="1" min="16" max="16"/>
    <col width="12" customWidth="1" min="17" max="17"/>
    <col width="44" customWidth="1" min="18" max="18"/>
  </cols>
  <sheetData>
    <row r="1" ht="30" customHeight="1">
      <c r="A1" s="6" t="inlineStr">
        <is>
          <t>Payout period</t>
        </is>
      </c>
      <c r="B1" s="6" t="inlineStr">
        <is>
          <t>Order ID</t>
        </is>
      </c>
      <c r="C1" s="6" t="inlineStr">
        <is>
          <t>Order date</t>
        </is>
      </c>
      <c r="D1" s="6" t="inlineStr">
        <is>
          <t>Order status</t>
        </is>
      </c>
      <c r="E1" s="6" t="inlineStr">
        <is>
          <t>Cancelled by</t>
        </is>
      </c>
      <c r="F1" s="6" t="inlineStr">
        <is>
          <t>GSTIN</t>
        </is>
      </c>
      <c r="G1" s="6" t="inlineStr">
        <is>
          <t>Place of supply</t>
        </is>
      </c>
      <c r="H1" s="6" t="inlineStr">
        <is>
          <t>Rate</t>
        </is>
      </c>
      <c r="I1" s="6" t="inlineStr">
        <is>
          <t>Taxable value billed</t>
        </is>
      </c>
      <c r="J1" s="6" t="inlineStr">
        <is>
          <t>GST-reportable value (after cancellation adjustment)</t>
        </is>
      </c>
      <c r="K1" s="6" t="inlineStr">
        <is>
          <t>GST charged</t>
        </is>
      </c>
      <c r="L1" s="6" t="inlineStr">
        <is>
          <t>CGST @2.5%</t>
        </is>
      </c>
      <c r="M1" s="6" t="inlineStr">
        <is>
          <t>SGST @2.5%</t>
        </is>
      </c>
      <c r="N1" s="6" t="inlineStr">
        <is>
          <t>GST discharged by Swiggy u/s 9(5)</t>
        </is>
      </c>
      <c r="O1" s="6" t="inlineStr">
        <is>
          <t>Difference</t>
        </is>
      </c>
      <c r="P1" s="6" t="inlineStr">
        <is>
          <t>TDS u/s 194-O</t>
        </is>
      </c>
      <c r="Q1" s="6" t="inlineStr">
        <is>
          <t>Net payout</t>
        </is>
      </c>
      <c r="R1" s="6" t="inlineStr">
        <is>
          <t>Remark</t>
        </is>
      </c>
    </row>
    <row r="2">
      <c r="A2" s="40" t="inlineStr">
        <is>
          <t>01 – 05 Sep</t>
        </is>
      </c>
      <c r="B2" s="40" t="inlineStr">
        <is>
          <t>247216193144945</t>
        </is>
      </c>
      <c r="C2" s="41" t="n">
        <v>46266.52769675926</v>
      </c>
      <c r="D2" s="40" t="inlineStr">
        <is>
          <t>delivered</t>
        </is>
      </c>
      <c r="E2" s="40" t="n"/>
      <c r="F2" s="40" t="inlineStr">
        <is>
          <t>24GJOPA4594Q1ZE</t>
        </is>
      </c>
      <c r="G2" s="40" t="inlineStr">
        <is>
          <t>Gujarat (24)</t>
        </is>
      </c>
      <c r="H2" s="40" t="inlineStr">
        <is>
          <t>5%</t>
        </is>
      </c>
      <c r="I2" s="42" t="n">
        <v>330</v>
      </c>
      <c r="J2" s="42" t="n">
        <v>330</v>
      </c>
      <c r="K2" s="42" t="n">
        <v>16.5</v>
      </c>
      <c r="L2" s="42" t="n">
        <v>8.25</v>
      </c>
      <c r="M2" s="42" t="n">
        <v>8.25</v>
      </c>
      <c r="N2" s="42" t="n">
        <v>16.5</v>
      </c>
      <c r="O2" s="42" t="n">
        <v>0</v>
      </c>
      <c r="P2" s="42" t="n">
        <v>0.33</v>
      </c>
      <c r="Q2" s="42" t="n">
        <v>231.53</v>
      </c>
      <c r="R2" s="43" t="inlineStr"/>
    </row>
    <row r="3">
      <c r="A3" s="40" t="inlineStr">
        <is>
          <t>01 – 05 Sep</t>
        </is>
      </c>
      <c r="B3" s="40" t="inlineStr">
        <is>
          <t>247222419111126</t>
        </is>
      </c>
      <c r="C3" s="41" t="n">
        <v>46266.59975694444</v>
      </c>
      <c r="D3" s="40" t="inlineStr">
        <is>
          <t>delivered</t>
        </is>
      </c>
      <c r="E3" s="40" t="n"/>
      <c r="F3" s="40" t="inlineStr">
        <is>
          <t>24GJOPA4594Q1ZE</t>
        </is>
      </c>
      <c r="G3" s="40" t="inlineStr">
        <is>
          <t>Gujarat (24)</t>
        </is>
      </c>
      <c r="H3" s="40" t="inlineStr">
        <is>
          <t>5%</t>
        </is>
      </c>
      <c r="I3" s="42" t="n">
        <v>300</v>
      </c>
      <c r="J3" s="42" t="n">
        <v>300</v>
      </c>
      <c r="K3" s="42" t="n">
        <v>15</v>
      </c>
      <c r="L3" s="42" t="n">
        <v>7.5</v>
      </c>
      <c r="M3" s="42" t="n">
        <v>7.5</v>
      </c>
      <c r="N3" s="42" t="n">
        <v>15</v>
      </c>
      <c r="O3" s="42" t="n">
        <v>0</v>
      </c>
      <c r="P3" s="42" t="n">
        <v>0.3</v>
      </c>
      <c r="Q3" s="42" t="n">
        <v>210.47</v>
      </c>
      <c r="R3" s="43" t="inlineStr"/>
    </row>
    <row r="4">
      <c r="A4" s="40" t="inlineStr">
        <is>
          <t>01 – 05 Sep</t>
        </is>
      </c>
      <c r="B4" s="40" t="inlineStr">
        <is>
          <t>247253893193066</t>
        </is>
      </c>
      <c r="C4" s="41" t="n">
        <v>46266.96403935185</v>
      </c>
      <c r="D4" s="40" t="inlineStr">
        <is>
          <t>delivered</t>
        </is>
      </c>
      <c r="E4" s="40" t="n"/>
      <c r="F4" s="40" t="inlineStr">
        <is>
          <t>24GJOPA4594Q1ZE</t>
        </is>
      </c>
      <c r="G4" s="40" t="inlineStr">
        <is>
          <t>Gujarat (24)</t>
        </is>
      </c>
      <c r="H4" s="40" t="inlineStr">
        <is>
          <t>5%</t>
        </is>
      </c>
      <c r="I4" s="42" t="n">
        <v>310</v>
      </c>
      <c r="J4" s="42" t="n">
        <v>310</v>
      </c>
      <c r="K4" s="42" t="n">
        <v>15.5</v>
      </c>
      <c r="L4" s="42" t="n">
        <v>7.75</v>
      </c>
      <c r="M4" s="42" t="n">
        <v>7.75</v>
      </c>
      <c r="N4" s="42" t="n">
        <v>15.5</v>
      </c>
      <c r="O4" s="42" t="n">
        <v>0</v>
      </c>
      <c r="P4" s="42" t="n">
        <v>0.31</v>
      </c>
      <c r="Q4" s="42" t="n">
        <v>217.51</v>
      </c>
      <c r="R4" s="43" t="inlineStr"/>
    </row>
    <row r="5">
      <c r="A5" s="40" t="inlineStr">
        <is>
          <t>01 – 05 Sep</t>
        </is>
      </c>
      <c r="B5" s="40" t="inlineStr">
        <is>
          <t>247307473185369</t>
        </is>
      </c>
      <c r="C5" s="41" t="n">
        <v>46267.58417824074</v>
      </c>
      <c r="D5" s="40" t="inlineStr">
        <is>
          <t>delivered</t>
        </is>
      </c>
      <c r="E5" s="40" t="n"/>
      <c r="F5" s="40" t="inlineStr">
        <is>
          <t>24GJOPA4594Q1ZE</t>
        </is>
      </c>
      <c r="G5" s="40" t="inlineStr">
        <is>
          <t>Gujarat (24)</t>
        </is>
      </c>
      <c r="H5" s="40" t="inlineStr">
        <is>
          <t>5%</t>
        </is>
      </c>
      <c r="I5" s="42" t="n">
        <v>310</v>
      </c>
      <c r="J5" s="42" t="n">
        <v>310</v>
      </c>
      <c r="K5" s="42" t="n">
        <v>15.5</v>
      </c>
      <c r="L5" s="42" t="n">
        <v>7.75</v>
      </c>
      <c r="M5" s="42" t="n">
        <v>7.75</v>
      </c>
      <c r="N5" s="42" t="n">
        <v>15.5</v>
      </c>
      <c r="O5" s="42" t="n">
        <v>0</v>
      </c>
      <c r="P5" s="42" t="n">
        <v>0.31</v>
      </c>
      <c r="Q5" s="42" t="n">
        <v>217.51</v>
      </c>
      <c r="R5" s="43" t="inlineStr"/>
    </row>
    <row r="6">
      <c r="A6" s="40" t="inlineStr">
        <is>
          <t>01 – 05 Sep</t>
        </is>
      </c>
      <c r="B6" s="40" t="inlineStr">
        <is>
          <t>247335455176614</t>
        </is>
      </c>
      <c r="C6" s="41" t="n">
        <v>46267.90804398148</v>
      </c>
      <c r="D6" s="40" t="inlineStr">
        <is>
          <t>delivered</t>
        </is>
      </c>
      <c r="E6" s="40" t="n"/>
      <c r="F6" s="40" t="inlineStr">
        <is>
          <t>24GJOPA4594Q1ZE</t>
        </is>
      </c>
      <c r="G6" s="40" t="inlineStr">
        <is>
          <t>Gujarat (24)</t>
        </is>
      </c>
      <c r="H6" s="40" t="inlineStr">
        <is>
          <t>5%</t>
        </is>
      </c>
      <c r="I6" s="42" t="n">
        <v>900</v>
      </c>
      <c r="J6" s="42" t="n">
        <v>900</v>
      </c>
      <c r="K6" s="42" t="n">
        <v>45</v>
      </c>
      <c r="L6" s="42" t="n">
        <v>22.5</v>
      </c>
      <c r="M6" s="42" t="n">
        <v>22.5</v>
      </c>
      <c r="N6" s="42" t="n">
        <v>45</v>
      </c>
      <c r="O6" s="42" t="n">
        <v>0</v>
      </c>
      <c r="P6" s="42" t="n">
        <v>0.9</v>
      </c>
      <c r="Q6" s="42" t="n">
        <v>631.45</v>
      </c>
      <c r="R6" s="43" t="inlineStr"/>
    </row>
    <row r="7">
      <c r="A7" s="40" t="inlineStr">
        <is>
          <t>01 – 05 Sep</t>
        </is>
      </c>
      <c r="B7" s="40" t="inlineStr">
        <is>
          <t>247389663176810</t>
        </is>
      </c>
      <c r="C7" s="41" t="n">
        <v>46268.53545138889</v>
      </c>
      <c r="D7" s="40" t="inlineStr">
        <is>
          <t>delivered</t>
        </is>
      </c>
      <c r="E7" s="40" t="n"/>
      <c r="F7" s="40" t="inlineStr">
        <is>
          <t>24GJOPA4594Q1ZE</t>
        </is>
      </c>
      <c r="G7" s="40" t="inlineStr">
        <is>
          <t>Gujarat (24)</t>
        </is>
      </c>
      <c r="H7" s="40" t="inlineStr">
        <is>
          <t>5%</t>
        </is>
      </c>
      <c r="I7" s="42" t="n">
        <v>660</v>
      </c>
      <c r="J7" s="42" t="n">
        <v>660</v>
      </c>
      <c r="K7" s="42" t="n">
        <v>33</v>
      </c>
      <c r="L7" s="42" t="n">
        <v>16.5</v>
      </c>
      <c r="M7" s="42" t="n">
        <v>16.5</v>
      </c>
      <c r="N7" s="42" t="n">
        <v>33</v>
      </c>
      <c r="O7" s="42" t="n">
        <v>0</v>
      </c>
      <c r="P7" s="42" t="n">
        <v>0.66</v>
      </c>
      <c r="Q7" s="42" t="n">
        <v>463.07</v>
      </c>
      <c r="R7" s="43" t="inlineStr"/>
    </row>
    <row r="8">
      <c r="A8" s="40" t="inlineStr">
        <is>
          <t>01 – 05 Sep</t>
        </is>
      </c>
      <c r="B8" s="40" t="inlineStr">
        <is>
          <t>247419364193689</t>
        </is>
      </c>
      <c r="C8" s="41" t="n">
        <v>46268.87921296297</v>
      </c>
      <c r="D8" s="40" t="inlineStr">
        <is>
          <t>delivered</t>
        </is>
      </c>
      <c r="E8" s="40" t="n"/>
      <c r="F8" s="40" t="inlineStr">
        <is>
          <t>24GJOPA4594Q1ZE</t>
        </is>
      </c>
      <c r="G8" s="40" t="inlineStr">
        <is>
          <t>Gujarat (24)</t>
        </is>
      </c>
      <c r="H8" s="40" t="inlineStr">
        <is>
          <t>5%</t>
        </is>
      </c>
      <c r="I8" s="42" t="n">
        <v>680</v>
      </c>
      <c r="J8" s="42" t="n">
        <v>680</v>
      </c>
      <c r="K8" s="42" t="n">
        <v>34</v>
      </c>
      <c r="L8" s="42" t="n">
        <v>17</v>
      </c>
      <c r="M8" s="42" t="n">
        <v>17</v>
      </c>
      <c r="N8" s="42" t="n">
        <v>34</v>
      </c>
      <c r="O8" s="42" t="n">
        <v>0</v>
      </c>
      <c r="P8" s="42" t="n">
        <v>0.68</v>
      </c>
      <c r="Q8" s="42" t="n">
        <v>477.12</v>
      </c>
      <c r="R8" s="43" t="inlineStr"/>
    </row>
    <row r="9">
      <c r="A9" s="40" t="inlineStr">
        <is>
          <t>01 – 05 Sep</t>
        </is>
      </c>
      <c r="B9" s="40" t="inlineStr">
        <is>
          <t>247421946157416</t>
        </is>
      </c>
      <c r="C9" s="41" t="n">
        <v>46268.90909722223</v>
      </c>
      <c r="D9" s="40" t="inlineStr">
        <is>
          <t>delivered</t>
        </is>
      </c>
      <c r="E9" s="40" t="n"/>
      <c r="F9" s="40" t="inlineStr">
        <is>
          <t>24GJOPA4594Q1ZE</t>
        </is>
      </c>
      <c r="G9" s="40" t="inlineStr">
        <is>
          <t>Gujarat (24)</t>
        </is>
      </c>
      <c r="H9" s="40" t="inlineStr">
        <is>
          <t>5%</t>
        </is>
      </c>
      <c r="I9" s="42" t="n">
        <v>330</v>
      </c>
      <c r="J9" s="42" t="n">
        <v>330</v>
      </c>
      <c r="K9" s="42" t="n">
        <v>16.5</v>
      </c>
      <c r="L9" s="42" t="n">
        <v>8.25</v>
      </c>
      <c r="M9" s="42" t="n">
        <v>8.25</v>
      </c>
      <c r="N9" s="42" t="n">
        <v>16.5</v>
      </c>
      <c r="O9" s="42" t="n">
        <v>0</v>
      </c>
      <c r="P9" s="42" t="n">
        <v>0.33</v>
      </c>
      <c r="Q9" s="42" t="n">
        <v>231.53</v>
      </c>
      <c r="R9" s="43" t="inlineStr"/>
    </row>
    <row r="10">
      <c r="A10" s="40" t="inlineStr">
        <is>
          <t>01 – 05 Sep</t>
        </is>
      </c>
      <c r="B10" s="40" t="inlineStr">
        <is>
          <t>247425653160272</t>
        </is>
      </c>
      <c r="C10" s="41" t="n">
        <v>46268.95200231481</v>
      </c>
      <c r="D10" s="40" t="inlineStr">
        <is>
          <t>delivered</t>
        </is>
      </c>
      <c r="E10" s="40" t="n"/>
      <c r="F10" s="40" t="inlineStr">
        <is>
          <t>24GJOPA4594Q1ZE</t>
        </is>
      </c>
      <c r="G10" s="40" t="inlineStr">
        <is>
          <t>Gujarat (24)</t>
        </is>
      </c>
      <c r="H10" s="40" t="inlineStr">
        <is>
          <t>5%</t>
        </is>
      </c>
      <c r="I10" s="42" t="n">
        <v>290</v>
      </c>
      <c r="J10" s="42" t="n">
        <v>290</v>
      </c>
      <c r="K10" s="42" t="n">
        <v>14.5</v>
      </c>
      <c r="L10" s="42" t="n">
        <v>7.25</v>
      </c>
      <c r="M10" s="42" t="n">
        <v>7.25</v>
      </c>
      <c r="N10" s="42" t="n">
        <v>14.5</v>
      </c>
      <c r="O10" s="42" t="n">
        <v>0</v>
      </c>
      <c r="P10" s="42" t="n">
        <v>0.29</v>
      </c>
      <c r="Q10" s="42" t="n">
        <v>203.49</v>
      </c>
      <c r="R10" s="43" t="inlineStr"/>
    </row>
    <row r="11">
      <c r="A11" s="40" t="inlineStr">
        <is>
          <t>01 – 05 Sep</t>
        </is>
      </c>
      <c r="B11" s="40" t="inlineStr">
        <is>
          <t>247492500101567</t>
        </is>
      </c>
      <c r="C11" s="41" t="n">
        <v>46269.72569444445</v>
      </c>
      <c r="D11" s="40" t="inlineStr">
        <is>
          <t>delivered</t>
        </is>
      </c>
      <c r="E11" s="40" t="n"/>
      <c r="F11" s="40" t="inlineStr">
        <is>
          <t>24GJOPA4594Q1ZE</t>
        </is>
      </c>
      <c r="G11" s="40" t="inlineStr">
        <is>
          <t>Gujarat (24)</t>
        </is>
      </c>
      <c r="H11" s="40" t="inlineStr">
        <is>
          <t>5%</t>
        </is>
      </c>
      <c r="I11" s="42" t="n">
        <v>420</v>
      </c>
      <c r="J11" s="42" t="n">
        <v>420</v>
      </c>
      <c r="K11" s="42" t="n">
        <v>21</v>
      </c>
      <c r="L11" s="42" t="n">
        <v>10.5</v>
      </c>
      <c r="M11" s="42" t="n">
        <v>10.5</v>
      </c>
      <c r="N11" s="42" t="n">
        <v>21</v>
      </c>
      <c r="O11" s="42" t="n">
        <v>0</v>
      </c>
      <c r="P11" s="42" t="n">
        <v>0.42</v>
      </c>
      <c r="Q11" s="42" t="n">
        <v>294.69</v>
      </c>
      <c r="R11" s="43" t="inlineStr"/>
    </row>
    <row r="12">
      <c r="A12" s="40" t="inlineStr">
        <is>
          <t>01 – 05 Sep</t>
        </is>
      </c>
      <c r="B12" s="40" t="inlineStr">
        <is>
          <t>247503691182656</t>
        </is>
      </c>
      <c r="C12" s="41" t="n">
        <v>46269.8552199074</v>
      </c>
      <c r="D12" s="40" t="inlineStr">
        <is>
          <t>delivered</t>
        </is>
      </c>
      <c r="E12" s="40" t="n"/>
      <c r="F12" s="40" t="inlineStr">
        <is>
          <t>24GJOPA4594Q1ZE</t>
        </is>
      </c>
      <c r="G12" s="40" t="inlineStr">
        <is>
          <t>Gujarat (24)</t>
        </is>
      </c>
      <c r="H12" s="40" t="inlineStr">
        <is>
          <t>5%</t>
        </is>
      </c>
      <c r="I12" s="42" t="n">
        <v>648</v>
      </c>
      <c r="J12" s="42" t="n">
        <v>648</v>
      </c>
      <c r="K12" s="42" t="n">
        <v>32.4</v>
      </c>
      <c r="L12" s="42" t="n">
        <v>16.2</v>
      </c>
      <c r="M12" s="42" t="n">
        <v>16.2</v>
      </c>
      <c r="N12" s="42" t="n">
        <v>32.4</v>
      </c>
      <c r="O12" s="42" t="n">
        <v>0</v>
      </c>
      <c r="P12" s="42" t="n">
        <v>0.65</v>
      </c>
      <c r="Q12" s="42" t="n">
        <v>502.84</v>
      </c>
      <c r="R12" s="43" t="inlineStr"/>
    </row>
    <row r="13">
      <c r="A13" s="40" t="inlineStr">
        <is>
          <t>01 – 05 Sep</t>
        </is>
      </c>
      <c r="B13" s="40" t="inlineStr">
        <is>
          <t>247511749186931</t>
        </is>
      </c>
      <c r="C13" s="41" t="n">
        <v>46269.9484837963</v>
      </c>
      <c r="D13" s="40" t="inlineStr">
        <is>
          <t>delivered</t>
        </is>
      </c>
      <c r="E13" s="40" t="n"/>
      <c r="F13" s="40" t="inlineStr">
        <is>
          <t>24GJOPA4594Q1ZE</t>
        </is>
      </c>
      <c r="G13" s="40" t="inlineStr">
        <is>
          <t>Gujarat (24)</t>
        </is>
      </c>
      <c r="H13" s="40" t="inlineStr">
        <is>
          <t>5%</t>
        </is>
      </c>
      <c r="I13" s="42" t="n">
        <v>580</v>
      </c>
      <c r="J13" s="42" t="n">
        <v>580</v>
      </c>
      <c r="K13" s="42" t="n">
        <v>29</v>
      </c>
      <c r="L13" s="42" t="n">
        <v>14.5</v>
      </c>
      <c r="M13" s="42" t="n">
        <v>14.5</v>
      </c>
      <c r="N13" s="42" t="n">
        <v>29</v>
      </c>
      <c r="O13" s="42" t="n">
        <v>0</v>
      </c>
      <c r="P13" s="42" t="n">
        <v>0.58</v>
      </c>
      <c r="Q13" s="42" t="n">
        <v>406.95</v>
      </c>
      <c r="R13" s="43" t="inlineStr"/>
    </row>
    <row r="14">
      <c r="A14" s="40" t="inlineStr">
        <is>
          <t>01 – 05 Sep</t>
        </is>
      </c>
      <c r="B14" s="40" t="inlineStr">
        <is>
          <t>247512114134112</t>
        </is>
      </c>
      <c r="C14" s="41" t="n">
        <v>46269.95270833333</v>
      </c>
      <c r="D14" s="40" t="inlineStr">
        <is>
          <t>delivered</t>
        </is>
      </c>
      <c r="E14" s="40" t="n"/>
      <c r="F14" s="40" t="inlineStr">
        <is>
          <t>24GJOPA4594Q1ZE</t>
        </is>
      </c>
      <c r="G14" s="40" t="inlineStr">
        <is>
          <t>Gujarat (24)</t>
        </is>
      </c>
      <c r="H14" s="40" t="inlineStr">
        <is>
          <t>5%</t>
        </is>
      </c>
      <c r="I14" s="42" t="n">
        <v>330</v>
      </c>
      <c r="J14" s="42" t="n">
        <v>330</v>
      </c>
      <c r="K14" s="42" t="n">
        <v>16.5</v>
      </c>
      <c r="L14" s="42" t="n">
        <v>8.25</v>
      </c>
      <c r="M14" s="42" t="n">
        <v>8.25</v>
      </c>
      <c r="N14" s="42" t="n">
        <v>16.5</v>
      </c>
      <c r="O14" s="42" t="n">
        <v>0</v>
      </c>
      <c r="P14" s="42" t="n">
        <v>0.33</v>
      </c>
      <c r="Q14" s="42" t="n">
        <v>231.53</v>
      </c>
      <c r="R14" s="43" t="inlineStr"/>
    </row>
    <row r="15">
      <c r="A15" s="40" t="inlineStr">
        <is>
          <t>01 – 05 Sep</t>
        </is>
      </c>
      <c r="B15" s="40" t="inlineStr">
        <is>
          <t>247568798169987</t>
        </is>
      </c>
      <c r="C15" s="41" t="n">
        <v>46270.60877314815</v>
      </c>
      <c r="D15" s="40" t="inlineStr">
        <is>
          <t>delivered</t>
        </is>
      </c>
      <c r="E15" s="40" t="n"/>
      <c r="F15" s="40" t="inlineStr">
        <is>
          <t>24GJOPA4594Q1ZE</t>
        </is>
      </c>
      <c r="G15" s="40" t="inlineStr">
        <is>
          <t>Gujarat (24)</t>
        </is>
      </c>
      <c r="H15" s="40" t="inlineStr">
        <is>
          <t>5%</t>
        </is>
      </c>
      <c r="I15" s="42" t="n">
        <v>290</v>
      </c>
      <c r="J15" s="42" t="n">
        <v>290</v>
      </c>
      <c r="K15" s="42" t="n">
        <v>14.5</v>
      </c>
      <c r="L15" s="42" t="n">
        <v>7.25</v>
      </c>
      <c r="M15" s="42" t="n">
        <v>7.25</v>
      </c>
      <c r="N15" s="42" t="n">
        <v>14.5</v>
      </c>
      <c r="O15" s="42" t="n">
        <v>0</v>
      </c>
      <c r="P15" s="42" t="n">
        <v>0.29</v>
      </c>
      <c r="Q15" s="42" t="n">
        <v>203.49</v>
      </c>
      <c r="R15" s="43" t="inlineStr"/>
    </row>
    <row r="16">
      <c r="A16" s="40" t="inlineStr">
        <is>
          <t>01 – 05 Sep</t>
        </is>
      </c>
      <c r="B16" s="40" t="inlineStr">
        <is>
          <t>247575850186295</t>
        </is>
      </c>
      <c r="C16" s="41" t="n">
        <v>46270.69039351852</v>
      </c>
      <c r="D16" s="40" t="inlineStr">
        <is>
          <t>delivered</t>
        </is>
      </c>
      <c r="E16" s="40" t="n"/>
      <c r="F16" s="40" t="inlineStr">
        <is>
          <t>24GJOPA4594Q1ZE</t>
        </is>
      </c>
      <c r="G16" s="40" t="inlineStr">
        <is>
          <t>Gujarat (24)</t>
        </is>
      </c>
      <c r="H16" s="40" t="inlineStr">
        <is>
          <t>5%</t>
        </is>
      </c>
      <c r="I16" s="42" t="n">
        <v>670</v>
      </c>
      <c r="J16" s="42" t="n">
        <v>670</v>
      </c>
      <c r="K16" s="42" t="n">
        <v>33.5</v>
      </c>
      <c r="L16" s="42" t="n">
        <v>16.75</v>
      </c>
      <c r="M16" s="42" t="n">
        <v>16.75</v>
      </c>
      <c r="N16" s="42" t="n">
        <v>33.5</v>
      </c>
      <c r="O16" s="42" t="n">
        <v>0</v>
      </c>
      <c r="P16" s="42" t="n">
        <v>0.67</v>
      </c>
      <c r="Q16" s="42" t="n">
        <v>470.11</v>
      </c>
      <c r="R16" s="43" t="inlineStr"/>
    </row>
    <row r="17">
      <c r="A17" s="40" t="inlineStr">
        <is>
          <t>01 – 05 Sep</t>
        </is>
      </c>
      <c r="B17" s="40" t="inlineStr">
        <is>
          <t>247587257158056</t>
        </is>
      </c>
      <c r="C17" s="41" t="n">
        <v>46270.82241898148</v>
      </c>
      <c r="D17" s="40" t="inlineStr">
        <is>
          <t>delivered</t>
        </is>
      </c>
      <c r="E17" s="40" t="n"/>
      <c r="F17" s="40" t="inlineStr">
        <is>
          <t>24GJOPA4594Q1ZE</t>
        </is>
      </c>
      <c r="G17" s="40" t="inlineStr">
        <is>
          <t>Gujarat (24)</t>
        </is>
      </c>
      <c r="H17" s="40" t="inlineStr">
        <is>
          <t>5%</t>
        </is>
      </c>
      <c r="I17" s="42" t="n">
        <v>590</v>
      </c>
      <c r="J17" s="42" t="n">
        <v>590</v>
      </c>
      <c r="K17" s="42" t="n">
        <v>29.5</v>
      </c>
      <c r="L17" s="42" t="n">
        <v>14.75</v>
      </c>
      <c r="M17" s="42" t="n">
        <v>14.75</v>
      </c>
      <c r="N17" s="42" t="n">
        <v>29.5</v>
      </c>
      <c r="O17" s="42" t="n">
        <v>0</v>
      </c>
      <c r="P17" s="42" t="n">
        <v>0.59</v>
      </c>
      <c r="Q17" s="42" t="n">
        <v>413.97</v>
      </c>
      <c r="R17" s="43" t="inlineStr"/>
    </row>
    <row r="18">
      <c r="A18" s="40" t="inlineStr">
        <is>
          <t>01 – 05 Sep</t>
        </is>
      </c>
      <c r="B18" s="40" t="inlineStr">
        <is>
          <t>247589996198125</t>
        </is>
      </c>
      <c r="C18" s="41" t="n">
        <v>46270.85412037037</v>
      </c>
      <c r="D18" s="40" t="inlineStr">
        <is>
          <t>delivered</t>
        </is>
      </c>
      <c r="E18" s="40" t="n"/>
      <c r="F18" s="40" t="inlineStr">
        <is>
          <t>24GJOPA4594Q1ZE</t>
        </is>
      </c>
      <c r="G18" s="40" t="inlineStr">
        <is>
          <t>Gujarat (24)</t>
        </is>
      </c>
      <c r="H18" s="40" t="inlineStr">
        <is>
          <t>5%</t>
        </is>
      </c>
      <c r="I18" s="42" t="n">
        <v>750</v>
      </c>
      <c r="J18" s="42" t="n">
        <v>750</v>
      </c>
      <c r="K18" s="42" t="n">
        <v>37.5</v>
      </c>
      <c r="L18" s="42" t="n">
        <v>18.75</v>
      </c>
      <c r="M18" s="42" t="n">
        <v>18.75</v>
      </c>
      <c r="N18" s="42" t="n">
        <v>37.5</v>
      </c>
      <c r="O18" s="42" t="n">
        <v>0</v>
      </c>
      <c r="P18" s="42" t="n">
        <v>0.75</v>
      </c>
      <c r="Q18" s="42" t="n">
        <v>526.23</v>
      </c>
      <c r="R18" s="43" t="inlineStr"/>
    </row>
    <row r="19">
      <c r="A19" s="40" t="inlineStr">
        <is>
          <t>01 – 05 Sep</t>
        </is>
      </c>
      <c r="B19" s="40" t="inlineStr">
        <is>
          <t>247593630146135</t>
        </is>
      </c>
      <c r="C19" s="41" t="n">
        <v>46270.89618055556</v>
      </c>
      <c r="D19" s="40" t="inlineStr">
        <is>
          <t>delivered</t>
        </is>
      </c>
      <c r="E19" s="40" t="n"/>
      <c r="F19" s="40" t="inlineStr">
        <is>
          <t>24GJOPA4594Q1ZE</t>
        </is>
      </c>
      <c r="G19" s="40" t="inlineStr">
        <is>
          <t>Gujarat (24)</t>
        </is>
      </c>
      <c r="H19" s="40" t="inlineStr">
        <is>
          <t>5%</t>
        </is>
      </c>
      <c r="I19" s="42" t="n">
        <v>330</v>
      </c>
      <c r="J19" s="42" t="n">
        <v>330</v>
      </c>
      <c r="K19" s="42" t="n">
        <v>16.5</v>
      </c>
      <c r="L19" s="42" t="n">
        <v>8.25</v>
      </c>
      <c r="M19" s="42" t="n">
        <v>8.25</v>
      </c>
      <c r="N19" s="42" t="n">
        <v>16.5</v>
      </c>
      <c r="O19" s="42" t="n">
        <v>0</v>
      </c>
      <c r="P19" s="42" t="n">
        <v>0.33</v>
      </c>
      <c r="Q19" s="42" t="n">
        <v>231.53</v>
      </c>
      <c r="R19" s="43" t="inlineStr"/>
    </row>
    <row r="20">
      <c r="A20" s="40" t="inlineStr">
        <is>
          <t>01 – 05 Sep</t>
        </is>
      </c>
      <c r="B20" s="40" t="inlineStr">
        <is>
          <t>247601082166305</t>
        </is>
      </c>
      <c r="C20" s="41" t="n">
        <v>46270.98243055555</v>
      </c>
      <c r="D20" s="40" t="inlineStr">
        <is>
          <t>delivered</t>
        </is>
      </c>
      <c r="E20" s="40" t="n"/>
      <c r="F20" s="40" t="inlineStr">
        <is>
          <t>24GJOPA4594Q1ZE</t>
        </is>
      </c>
      <c r="G20" s="40" t="inlineStr">
        <is>
          <t>Gujarat (24)</t>
        </is>
      </c>
      <c r="H20" s="40" t="inlineStr">
        <is>
          <t>5%</t>
        </is>
      </c>
      <c r="I20" s="42" t="n">
        <v>290</v>
      </c>
      <c r="J20" s="42" t="n">
        <v>290</v>
      </c>
      <c r="K20" s="42" t="n">
        <v>14.5</v>
      </c>
      <c r="L20" s="42" t="n">
        <v>7.25</v>
      </c>
      <c r="M20" s="42" t="n">
        <v>7.25</v>
      </c>
      <c r="N20" s="42" t="n">
        <v>14.5</v>
      </c>
      <c r="O20" s="42" t="n">
        <v>0</v>
      </c>
      <c r="P20" s="42" t="n">
        <v>0.29</v>
      </c>
      <c r="Q20" s="42" t="n">
        <v>203.49</v>
      </c>
      <c r="R20" s="43" t="inlineStr"/>
    </row>
    <row r="21">
      <c r="A21" s="44" t="inlineStr">
        <is>
          <t>06 – 12 Sep</t>
        </is>
      </c>
      <c r="B21" s="44" t="inlineStr">
        <is>
          <t>247659388130077</t>
        </is>
      </c>
      <c r="C21" s="45" t="n">
        <v>46271.65726851852</v>
      </c>
      <c r="D21" s="44" t="inlineStr">
        <is>
          <t>delivered</t>
        </is>
      </c>
      <c r="E21" s="44" t="n"/>
      <c r="F21" s="44" t="inlineStr">
        <is>
          <t>24GJOPA4594Q1ZE</t>
        </is>
      </c>
      <c r="G21" s="44" t="inlineStr">
        <is>
          <t>Gujarat (24)</t>
        </is>
      </c>
      <c r="H21" s="44" t="inlineStr">
        <is>
          <t>5%</t>
        </is>
      </c>
      <c r="I21" s="46" t="n">
        <v>290</v>
      </c>
      <c r="J21" s="46" t="n">
        <v>290</v>
      </c>
      <c r="K21" s="46" t="n">
        <v>14.5</v>
      </c>
      <c r="L21" s="46" t="n">
        <v>7.25</v>
      </c>
      <c r="M21" s="46" t="n">
        <v>7.25</v>
      </c>
      <c r="N21" s="46" t="n">
        <v>14.5</v>
      </c>
      <c r="O21" s="46" t="n">
        <v>0</v>
      </c>
      <c r="P21" s="46" t="n">
        <v>0.29</v>
      </c>
      <c r="Q21" s="46" t="n">
        <v>203.49</v>
      </c>
      <c r="R21" s="47" t="inlineStr"/>
    </row>
    <row r="22">
      <c r="A22" s="44" t="inlineStr">
        <is>
          <t>06 – 12 Sep</t>
        </is>
      </c>
      <c r="B22" s="44" t="inlineStr">
        <is>
          <t>247670262146343</t>
        </is>
      </c>
      <c r="C22" s="45" t="n">
        <v>46271.783125</v>
      </c>
      <c r="D22" s="44" t="inlineStr">
        <is>
          <t>delivered</t>
        </is>
      </c>
      <c r="E22" s="44" t="n"/>
      <c r="F22" s="44" t="inlineStr">
        <is>
          <t>24GJOPA4594Q1ZE</t>
        </is>
      </c>
      <c r="G22" s="44" t="inlineStr">
        <is>
          <t>Gujarat (24)</t>
        </is>
      </c>
      <c r="H22" s="44" t="inlineStr">
        <is>
          <t>5%</t>
        </is>
      </c>
      <c r="I22" s="46" t="n">
        <v>555</v>
      </c>
      <c r="J22" s="46" t="n">
        <v>555</v>
      </c>
      <c r="K22" s="46" t="n">
        <v>27.76</v>
      </c>
      <c r="L22" s="46" t="n">
        <v>13.88</v>
      </c>
      <c r="M22" s="46" t="n">
        <v>13.87</v>
      </c>
      <c r="N22" s="46" t="n">
        <v>27.75</v>
      </c>
      <c r="O22" s="46" t="n">
        <v>0</v>
      </c>
      <c r="P22" s="46" t="n">
        <v>0.5600000000000001</v>
      </c>
      <c r="Q22" s="46" t="n">
        <v>389.42</v>
      </c>
      <c r="R22" s="47" t="inlineStr"/>
    </row>
    <row r="23">
      <c r="A23" s="44" t="inlineStr">
        <is>
          <t>06 – 12 Sep</t>
        </is>
      </c>
      <c r="B23" s="44" t="inlineStr">
        <is>
          <t>247677912189218</t>
        </is>
      </c>
      <c r="C23" s="45" t="n">
        <v>46271.87166666667</v>
      </c>
      <c r="D23" s="44" t="inlineStr">
        <is>
          <t>delivered</t>
        </is>
      </c>
      <c r="E23" s="44" t="n"/>
      <c r="F23" s="44" t="inlineStr">
        <is>
          <t>24GJOPA4594Q1ZE</t>
        </is>
      </c>
      <c r="G23" s="44" t="inlineStr">
        <is>
          <t>Gujarat (24)</t>
        </is>
      </c>
      <c r="H23" s="44" t="inlineStr">
        <is>
          <t>5%</t>
        </is>
      </c>
      <c r="I23" s="46" t="n">
        <v>800</v>
      </c>
      <c r="J23" s="46" t="n">
        <v>800</v>
      </c>
      <c r="K23" s="46" t="n">
        <v>40</v>
      </c>
      <c r="L23" s="46" t="n">
        <v>20</v>
      </c>
      <c r="M23" s="46" t="n">
        <v>20</v>
      </c>
      <c r="N23" s="46" t="n">
        <v>40</v>
      </c>
      <c r="O23" s="46" t="n">
        <v>0</v>
      </c>
      <c r="P23" s="46" t="n">
        <v>0.8</v>
      </c>
      <c r="Q23" s="46" t="n">
        <v>561.3</v>
      </c>
      <c r="R23" s="47" t="inlineStr"/>
    </row>
    <row r="24">
      <c r="A24" s="44" t="inlineStr">
        <is>
          <t>06 – 12 Sep</t>
        </is>
      </c>
      <c r="B24" s="44" t="inlineStr">
        <is>
          <t>247680999190396</t>
        </is>
      </c>
      <c r="C24" s="45" t="n">
        <v>46271.90739583333</v>
      </c>
      <c r="D24" s="44" t="inlineStr">
        <is>
          <t>delivered</t>
        </is>
      </c>
      <c r="E24" s="44" t="n"/>
      <c r="F24" s="44" t="inlineStr">
        <is>
          <t>24GJOPA4594Q1ZE</t>
        </is>
      </c>
      <c r="G24" s="44" t="inlineStr">
        <is>
          <t>Gujarat (24)</t>
        </is>
      </c>
      <c r="H24" s="44" t="inlineStr">
        <is>
          <t>5%</t>
        </is>
      </c>
      <c r="I24" s="46" t="n">
        <v>330</v>
      </c>
      <c r="J24" s="46" t="n">
        <v>330</v>
      </c>
      <c r="K24" s="46" t="n">
        <v>16.5</v>
      </c>
      <c r="L24" s="46" t="n">
        <v>8.25</v>
      </c>
      <c r="M24" s="46" t="n">
        <v>8.25</v>
      </c>
      <c r="N24" s="46" t="n">
        <v>16.5</v>
      </c>
      <c r="O24" s="46" t="n">
        <v>0</v>
      </c>
      <c r="P24" s="46" t="n">
        <v>0.33</v>
      </c>
      <c r="Q24" s="46" t="n">
        <v>231.53</v>
      </c>
      <c r="R24" s="47" t="inlineStr"/>
    </row>
    <row r="25">
      <c r="A25" s="44" t="inlineStr">
        <is>
          <t>06 – 12 Sep</t>
        </is>
      </c>
      <c r="B25" s="44" t="inlineStr">
        <is>
          <t>247683203140864</t>
        </is>
      </c>
      <c r="C25" s="45" t="n">
        <v>46271.9329050926</v>
      </c>
      <c r="D25" s="44" t="inlineStr">
        <is>
          <t>delivered</t>
        </is>
      </c>
      <c r="E25" s="44" t="n"/>
      <c r="F25" s="44" t="inlineStr">
        <is>
          <t>24GJOPA4594Q1ZE</t>
        </is>
      </c>
      <c r="G25" s="44" t="inlineStr">
        <is>
          <t>Gujarat (24)</t>
        </is>
      </c>
      <c r="H25" s="44" t="inlineStr">
        <is>
          <t>5%</t>
        </is>
      </c>
      <c r="I25" s="46" t="n">
        <v>310</v>
      </c>
      <c r="J25" s="46" t="n">
        <v>310</v>
      </c>
      <c r="K25" s="46" t="n">
        <v>15.5</v>
      </c>
      <c r="L25" s="46" t="n">
        <v>7.75</v>
      </c>
      <c r="M25" s="46" t="n">
        <v>7.75</v>
      </c>
      <c r="N25" s="46" t="n">
        <v>15.5</v>
      </c>
      <c r="O25" s="46" t="n">
        <v>0</v>
      </c>
      <c r="P25" s="46" t="n">
        <v>0.31</v>
      </c>
      <c r="Q25" s="46" t="n">
        <v>217.51</v>
      </c>
      <c r="R25" s="47" t="inlineStr"/>
    </row>
    <row r="26">
      <c r="A26" s="44" t="inlineStr">
        <is>
          <t>06 – 12 Sep</t>
        </is>
      </c>
      <c r="B26" s="44" t="inlineStr">
        <is>
          <t>247684179199414</t>
        </is>
      </c>
      <c r="C26" s="45" t="n">
        <v>46271.94420138889</v>
      </c>
      <c r="D26" s="44" t="inlineStr">
        <is>
          <t>delivered</t>
        </is>
      </c>
      <c r="E26" s="44" t="n"/>
      <c r="F26" s="44" t="inlineStr">
        <is>
          <t>24GJOPA4594Q1ZE</t>
        </is>
      </c>
      <c r="G26" s="44" t="inlineStr">
        <is>
          <t>Gujarat (24)</t>
        </is>
      </c>
      <c r="H26" s="44" t="inlineStr">
        <is>
          <t>5%</t>
        </is>
      </c>
      <c r="I26" s="46" t="n">
        <v>255</v>
      </c>
      <c r="J26" s="46" t="n">
        <v>255</v>
      </c>
      <c r="K26" s="46" t="n">
        <v>12.76</v>
      </c>
      <c r="L26" s="46" t="n">
        <v>6.38</v>
      </c>
      <c r="M26" s="46" t="n">
        <v>6.37</v>
      </c>
      <c r="N26" s="46" t="n">
        <v>12.75</v>
      </c>
      <c r="O26" s="46" t="n">
        <v>0</v>
      </c>
      <c r="P26" s="46" t="n">
        <v>0.26</v>
      </c>
      <c r="Q26" s="46" t="n">
        <v>178.9</v>
      </c>
      <c r="R26" s="47" t="inlineStr"/>
    </row>
    <row r="27">
      <c r="A27" s="44" t="inlineStr">
        <is>
          <t>06 – 12 Sep</t>
        </is>
      </c>
      <c r="B27" s="44" t="inlineStr">
        <is>
          <t>247769732169930</t>
        </is>
      </c>
      <c r="C27" s="45" t="n">
        <v>46272.93439814815</v>
      </c>
      <c r="D27" s="44" t="inlineStr">
        <is>
          <t>delivered</t>
        </is>
      </c>
      <c r="E27" s="44" t="n"/>
      <c r="F27" s="44" t="inlineStr">
        <is>
          <t>24GJOPA4594Q1ZE</t>
        </is>
      </c>
      <c r="G27" s="44" t="inlineStr">
        <is>
          <t>Gujarat (24)</t>
        </is>
      </c>
      <c r="H27" s="44" t="inlineStr">
        <is>
          <t>5%</t>
        </is>
      </c>
      <c r="I27" s="46" t="n">
        <v>310</v>
      </c>
      <c r="J27" s="46" t="n">
        <v>310</v>
      </c>
      <c r="K27" s="46" t="n">
        <v>15.5</v>
      </c>
      <c r="L27" s="46" t="n">
        <v>7.75</v>
      </c>
      <c r="M27" s="46" t="n">
        <v>7.75</v>
      </c>
      <c r="N27" s="46" t="n">
        <v>15.5</v>
      </c>
      <c r="O27" s="46" t="n">
        <v>0</v>
      </c>
      <c r="P27" s="46" t="n">
        <v>0.31</v>
      </c>
      <c r="Q27" s="46" t="n">
        <v>217.51</v>
      </c>
      <c r="R27" s="47" t="inlineStr"/>
    </row>
    <row r="28">
      <c r="A28" s="44" t="inlineStr">
        <is>
          <t>06 – 12 Sep</t>
        </is>
      </c>
      <c r="B28" s="44" t="inlineStr">
        <is>
          <t>247828236195211</t>
        </is>
      </c>
      <c r="C28" s="45" t="n">
        <v>46273.61152777778</v>
      </c>
      <c r="D28" s="44" t="inlineStr">
        <is>
          <t>delivered</t>
        </is>
      </c>
      <c r="E28" s="44" t="n"/>
      <c r="F28" s="44" t="inlineStr">
        <is>
          <t>24GJOPA4594Q1ZE</t>
        </is>
      </c>
      <c r="G28" s="44" t="inlineStr">
        <is>
          <t>Gujarat (24)</t>
        </is>
      </c>
      <c r="H28" s="44" t="inlineStr">
        <is>
          <t>5%</t>
        </is>
      </c>
      <c r="I28" s="46" t="n">
        <v>330</v>
      </c>
      <c r="J28" s="46" t="n">
        <v>330</v>
      </c>
      <c r="K28" s="46" t="n">
        <v>16.5</v>
      </c>
      <c r="L28" s="46" t="n">
        <v>8.25</v>
      </c>
      <c r="M28" s="46" t="n">
        <v>8.25</v>
      </c>
      <c r="N28" s="46" t="n">
        <v>16.5</v>
      </c>
      <c r="O28" s="46" t="n">
        <v>0</v>
      </c>
      <c r="P28" s="46" t="n">
        <v>0.33</v>
      </c>
      <c r="Q28" s="46" t="n">
        <v>231.53</v>
      </c>
      <c r="R28" s="47" t="inlineStr"/>
    </row>
    <row r="29">
      <c r="A29" s="44" t="inlineStr">
        <is>
          <t>06 – 12 Sep</t>
        </is>
      </c>
      <c r="B29" s="44" t="inlineStr">
        <is>
          <t>247832763145394</t>
        </is>
      </c>
      <c r="C29" s="45" t="n">
        <v>46273.66392361111</v>
      </c>
      <c r="D29" s="44" t="inlineStr">
        <is>
          <t>delivered</t>
        </is>
      </c>
      <c r="E29" s="44" t="n"/>
      <c r="F29" s="44" t="inlineStr">
        <is>
          <t>24GJOPA4594Q1ZE</t>
        </is>
      </c>
      <c r="G29" s="44" t="inlineStr">
        <is>
          <t>Gujarat (24)</t>
        </is>
      </c>
      <c r="H29" s="44" t="inlineStr">
        <is>
          <t>5%</t>
        </is>
      </c>
      <c r="I29" s="46" t="n">
        <v>255</v>
      </c>
      <c r="J29" s="46" t="n">
        <v>255</v>
      </c>
      <c r="K29" s="46" t="n">
        <v>12.76</v>
      </c>
      <c r="L29" s="46" t="n">
        <v>6.38</v>
      </c>
      <c r="M29" s="46" t="n">
        <v>6.37</v>
      </c>
      <c r="N29" s="46" t="n">
        <v>12.75</v>
      </c>
      <c r="O29" s="46" t="n">
        <v>0</v>
      </c>
      <c r="P29" s="46" t="n">
        <v>0.26</v>
      </c>
      <c r="Q29" s="46" t="n">
        <v>178.9</v>
      </c>
      <c r="R29" s="47" t="inlineStr"/>
    </row>
    <row r="30">
      <c r="A30" s="44" t="inlineStr">
        <is>
          <t>06 – 12 Sep</t>
        </is>
      </c>
      <c r="B30" s="44" t="inlineStr">
        <is>
          <t>247847029181135</t>
        </is>
      </c>
      <c r="C30" s="45" t="n">
        <v>46273.82903935185</v>
      </c>
      <c r="D30" s="44" t="inlineStr">
        <is>
          <t>delivered</t>
        </is>
      </c>
      <c r="E30" s="44" t="n"/>
      <c r="F30" s="44" t="inlineStr">
        <is>
          <t>24GJOPA4594Q1ZE</t>
        </is>
      </c>
      <c r="G30" s="44" t="inlineStr">
        <is>
          <t>Gujarat (24)</t>
        </is>
      </c>
      <c r="H30" s="44" t="inlineStr">
        <is>
          <t>5%</t>
        </is>
      </c>
      <c r="I30" s="46" t="n">
        <v>300</v>
      </c>
      <c r="J30" s="46" t="n">
        <v>300</v>
      </c>
      <c r="K30" s="46" t="n">
        <v>15</v>
      </c>
      <c r="L30" s="46" t="n">
        <v>7.5</v>
      </c>
      <c r="M30" s="46" t="n">
        <v>7.5</v>
      </c>
      <c r="N30" s="46" t="n">
        <v>15</v>
      </c>
      <c r="O30" s="46" t="n">
        <v>0</v>
      </c>
      <c r="P30" s="46" t="n">
        <v>0.3</v>
      </c>
      <c r="Q30" s="46" t="n">
        <v>210.47</v>
      </c>
      <c r="R30" s="47" t="inlineStr"/>
    </row>
    <row r="31">
      <c r="A31" s="44" t="inlineStr">
        <is>
          <t>06 – 12 Sep</t>
        </is>
      </c>
      <c r="B31" s="44" t="inlineStr">
        <is>
          <t>247861710172959</t>
        </is>
      </c>
      <c r="C31" s="45" t="n">
        <v>46273.99895833333</v>
      </c>
      <c r="D31" s="44" t="inlineStr">
        <is>
          <t>delivered</t>
        </is>
      </c>
      <c r="E31" s="44" t="n"/>
      <c r="F31" s="44" t="inlineStr">
        <is>
          <t>24GJOPA4594Q1ZE</t>
        </is>
      </c>
      <c r="G31" s="44" t="inlineStr">
        <is>
          <t>Gujarat (24)</t>
        </is>
      </c>
      <c r="H31" s="44" t="inlineStr">
        <is>
          <t>5%</t>
        </is>
      </c>
      <c r="I31" s="46" t="n">
        <v>290</v>
      </c>
      <c r="J31" s="46" t="n">
        <v>290</v>
      </c>
      <c r="K31" s="46" t="n">
        <v>14.5</v>
      </c>
      <c r="L31" s="46" t="n">
        <v>7.25</v>
      </c>
      <c r="M31" s="46" t="n">
        <v>7.25</v>
      </c>
      <c r="N31" s="46" t="n">
        <v>14.5</v>
      </c>
      <c r="O31" s="46" t="n">
        <v>0</v>
      </c>
      <c r="P31" s="46" t="n">
        <v>0.29</v>
      </c>
      <c r="Q31" s="46" t="n">
        <v>203.49</v>
      </c>
      <c r="R31" s="47" t="inlineStr"/>
    </row>
    <row r="32">
      <c r="A32" s="44" t="inlineStr">
        <is>
          <t>06 – 12 Sep</t>
        </is>
      </c>
      <c r="B32" s="44" t="inlineStr">
        <is>
          <t>247945055140481</t>
        </is>
      </c>
      <c r="C32" s="45" t="n">
        <v>46274.96359953703</v>
      </c>
      <c r="D32" s="44" t="inlineStr">
        <is>
          <t>delivered</t>
        </is>
      </c>
      <c r="E32" s="44" t="n"/>
      <c r="F32" s="44" t="inlineStr">
        <is>
          <t>24GJOPA4594Q1ZE</t>
        </is>
      </c>
      <c r="G32" s="44" t="inlineStr">
        <is>
          <t>Gujarat (24)</t>
        </is>
      </c>
      <c r="H32" s="44" t="inlineStr">
        <is>
          <t>5%</t>
        </is>
      </c>
      <c r="I32" s="46" t="n">
        <v>420</v>
      </c>
      <c r="J32" s="46" t="n">
        <v>420</v>
      </c>
      <c r="K32" s="46" t="n">
        <v>21</v>
      </c>
      <c r="L32" s="46" t="n">
        <v>10.5</v>
      </c>
      <c r="M32" s="46" t="n">
        <v>10.5</v>
      </c>
      <c r="N32" s="46" t="n">
        <v>21</v>
      </c>
      <c r="O32" s="46" t="n">
        <v>0</v>
      </c>
      <c r="P32" s="46" t="n">
        <v>0.42</v>
      </c>
      <c r="Q32" s="46" t="n">
        <v>294.69</v>
      </c>
      <c r="R32" s="47" t="inlineStr"/>
    </row>
    <row r="33">
      <c r="A33" s="44" t="inlineStr">
        <is>
          <t>06 – 12 Sep</t>
        </is>
      </c>
      <c r="B33" s="44" t="inlineStr">
        <is>
          <t>247945095176307</t>
        </is>
      </c>
      <c r="C33" s="45" t="n">
        <v>46274.9640625</v>
      </c>
      <c r="D33" s="44" t="inlineStr">
        <is>
          <t>delivered</t>
        </is>
      </c>
      <c r="E33" s="44" t="n"/>
      <c r="F33" s="44" t="inlineStr">
        <is>
          <t>24GJOPA4594Q1ZE</t>
        </is>
      </c>
      <c r="G33" s="44" t="inlineStr">
        <is>
          <t>Gujarat (24)</t>
        </is>
      </c>
      <c r="H33" s="44" t="inlineStr">
        <is>
          <t>5%</t>
        </is>
      </c>
      <c r="I33" s="46" t="n">
        <v>330</v>
      </c>
      <c r="J33" s="46" t="n">
        <v>330</v>
      </c>
      <c r="K33" s="46" t="n">
        <v>16.5</v>
      </c>
      <c r="L33" s="46" t="n">
        <v>8.25</v>
      </c>
      <c r="M33" s="46" t="n">
        <v>8.25</v>
      </c>
      <c r="N33" s="46" t="n">
        <v>16.5</v>
      </c>
      <c r="O33" s="46" t="n">
        <v>0</v>
      </c>
      <c r="P33" s="46" t="n">
        <v>0.33</v>
      </c>
      <c r="Q33" s="46" t="n">
        <v>231.53</v>
      </c>
      <c r="R33" s="47" t="inlineStr"/>
    </row>
    <row r="34">
      <c r="A34" s="44" t="inlineStr">
        <is>
          <t>06 – 12 Sep</t>
        </is>
      </c>
      <c r="B34" s="44" t="inlineStr">
        <is>
          <t>247997913109719</t>
        </is>
      </c>
      <c r="C34" s="45" t="n">
        <v>46275.57538194444</v>
      </c>
      <c r="D34" s="44" t="inlineStr">
        <is>
          <t>delivered</t>
        </is>
      </c>
      <c r="E34" s="44" t="n"/>
      <c r="F34" s="44" t="inlineStr">
        <is>
          <t>24GJOPA4594Q1ZE</t>
        </is>
      </c>
      <c r="G34" s="44" t="inlineStr">
        <is>
          <t>Gujarat (24)</t>
        </is>
      </c>
      <c r="H34" s="44" t="inlineStr">
        <is>
          <t>5%</t>
        </is>
      </c>
      <c r="I34" s="46" t="n">
        <v>670</v>
      </c>
      <c r="J34" s="46" t="n">
        <v>670</v>
      </c>
      <c r="K34" s="46" t="n">
        <v>33.5</v>
      </c>
      <c r="L34" s="46" t="n">
        <v>16.75</v>
      </c>
      <c r="M34" s="46" t="n">
        <v>16.75</v>
      </c>
      <c r="N34" s="46" t="n">
        <v>33.5</v>
      </c>
      <c r="O34" s="46" t="n">
        <v>0</v>
      </c>
      <c r="P34" s="46" t="n">
        <v>0.67</v>
      </c>
      <c r="Q34" s="46" t="n">
        <v>470.11</v>
      </c>
      <c r="R34" s="47" t="inlineStr"/>
    </row>
    <row r="35">
      <c r="A35" s="44" t="inlineStr">
        <is>
          <t>06 – 12 Sep</t>
        </is>
      </c>
      <c r="B35" s="44" t="inlineStr">
        <is>
          <t>248029348134272</t>
        </is>
      </c>
      <c r="C35" s="45" t="n">
        <v>46275.93921296296</v>
      </c>
      <c r="D35" s="44" t="inlineStr">
        <is>
          <t>delivered</t>
        </is>
      </c>
      <c r="E35" s="44" t="n"/>
      <c r="F35" s="44" t="inlineStr">
        <is>
          <t>24GJOPA4594Q1ZE</t>
        </is>
      </c>
      <c r="G35" s="44" t="inlineStr">
        <is>
          <t>Gujarat (24)</t>
        </is>
      </c>
      <c r="H35" s="44" t="inlineStr">
        <is>
          <t>5%</t>
        </is>
      </c>
      <c r="I35" s="46" t="n">
        <v>290</v>
      </c>
      <c r="J35" s="46" t="n">
        <v>290</v>
      </c>
      <c r="K35" s="46" t="n">
        <v>14.5</v>
      </c>
      <c r="L35" s="46" t="n">
        <v>7.25</v>
      </c>
      <c r="M35" s="46" t="n">
        <v>7.25</v>
      </c>
      <c r="N35" s="46" t="n">
        <v>14.5</v>
      </c>
      <c r="O35" s="46" t="n">
        <v>0</v>
      </c>
      <c r="P35" s="46" t="n">
        <v>0.29</v>
      </c>
      <c r="Q35" s="46" t="n">
        <v>203.49</v>
      </c>
      <c r="R35" s="47" t="inlineStr"/>
    </row>
    <row r="36">
      <c r="A36" s="44" t="inlineStr">
        <is>
          <t>06 – 12 Sep</t>
        </is>
      </c>
      <c r="B36" s="44" t="inlineStr">
        <is>
          <t>248080105198671</t>
        </is>
      </c>
      <c r="C36" s="45" t="n">
        <v>46276.52667824074</v>
      </c>
      <c r="D36" s="44" t="inlineStr">
        <is>
          <t>delivered</t>
        </is>
      </c>
      <c r="E36" s="44" t="n"/>
      <c r="F36" s="44" t="inlineStr">
        <is>
          <t>24GJOPA4594Q1ZE</t>
        </is>
      </c>
      <c r="G36" s="44" t="inlineStr">
        <is>
          <t>Gujarat (24)</t>
        </is>
      </c>
      <c r="H36" s="44" t="inlineStr">
        <is>
          <t>5%</t>
        </is>
      </c>
      <c r="I36" s="46" t="n">
        <v>300</v>
      </c>
      <c r="J36" s="46" t="n">
        <v>300</v>
      </c>
      <c r="K36" s="46" t="n">
        <v>15</v>
      </c>
      <c r="L36" s="46" t="n">
        <v>7.5</v>
      </c>
      <c r="M36" s="46" t="n">
        <v>7.5</v>
      </c>
      <c r="N36" s="46" t="n">
        <v>15</v>
      </c>
      <c r="O36" s="46" t="n">
        <v>0</v>
      </c>
      <c r="P36" s="46" t="n">
        <v>0.3</v>
      </c>
      <c r="Q36" s="46" t="n">
        <v>210.47</v>
      </c>
      <c r="R36" s="47" t="inlineStr"/>
    </row>
    <row r="37">
      <c r="A37" s="44" t="inlineStr">
        <is>
          <t>06 – 12 Sep</t>
        </is>
      </c>
      <c r="B37" s="44" t="inlineStr">
        <is>
          <t>248111600195668</t>
        </is>
      </c>
      <c r="C37" s="45" t="n">
        <v>46276.8912037037</v>
      </c>
      <c r="D37" s="44" t="inlineStr">
        <is>
          <t>delivered</t>
        </is>
      </c>
      <c r="E37" s="44" t="n"/>
      <c r="F37" s="44" t="inlineStr">
        <is>
          <t>24GJOPA4594Q1ZE</t>
        </is>
      </c>
      <c r="G37" s="44" t="inlineStr">
        <is>
          <t>Gujarat (24)</t>
        </is>
      </c>
      <c r="H37" s="44" t="inlineStr">
        <is>
          <t>5%</t>
        </is>
      </c>
      <c r="I37" s="46" t="n">
        <v>1005</v>
      </c>
      <c r="J37" s="46" t="n">
        <v>1005</v>
      </c>
      <c r="K37" s="46" t="n">
        <v>50.26</v>
      </c>
      <c r="L37" s="46" t="n">
        <v>25.12</v>
      </c>
      <c r="M37" s="46" t="n">
        <v>25.13</v>
      </c>
      <c r="N37" s="46" t="n">
        <v>50.25</v>
      </c>
      <c r="O37" s="46" t="n">
        <v>0</v>
      </c>
      <c r="P37" s="46" t="n">
        <v>1.01</v>
      </c>
      <c r="Q37" s="46" t="n">
        <v>705.14</v>
      </c>
      <c r="R37" s="47" t="inlineStr"/>
    </row>
    <row r="38">
      <c r="A38" s="44" t="inlineStr">
        <is>
          <t>06 – 12 Sep</t>
        </is>
      </c>
      <c r="B38" s="44" t="inlineStr">
        <is>
          <t>248161583180423</t>
        </is>
      </c>
      <c r="C38" s="45" t="n">
        <v>46277.46971064815</v>
      </c>
      <c r="D38" s="44" t="inlineStr">
        <is>
          <t>delivered</t>
        </is>
      </c>
      <c r="E38" s="44" t="n"/>
      <c r="F38" s="44" t="inlineStr">
        <is>
          <t>24GJOPA4594Q1ZE</t>
        </is>
      </c>
      <c r="G38" s="44" t="inlineStr">
        <is>
          <t>Gujarat (24)</t>
        </is>
      </c>
      <c r="H38" s="44" t="inlineStr">
        <is>
          <t>5%</t>
        </is>
      </c>
      <c r="I38" s="46" t="n">
        <v>330</v>
      </c>
      <c r="J38" s="46" t="n">
        <v>330</v>
      </c>
      <c r="K38" s="46" t="n">
        <v>16.5</v>
      </c>
      <c r="L38" s="46" t="n">
        <v>8.25</v>
      </c>
      <c r="M38" s="46" t="n">
        <v>8.25</v>
      </c>
      <c r="N38" s="46" t="n">
        <v>16.5</v>
      </c>
      <c r="O38" s="46" t="n">
        <v>0</v>
      </c>
      <c r="P38" s="46" t="n">
        <v>0.33</v>
      </c>
      <c r="Q38" s="46" t="n">
        <v>231.53</v>
      </c>
      <c r="R38" s="47" t="inlineStr"/>
    </row>
    <row r="39">
      <c r="A39" s="44" t="inlineStr">
        <is>
          <t>06 – 12 Sep</t>
        </is>
      </c>
      <c r="B39" s="44" t="inlineStr">
        <is>
          <t>248178577151994</t>
        </is>
      </c>
      <c r="C39" s="45" t="n">
        <v>46277.66640046296</v>
      </c>
      <c r="D39" s="44" t="inlineStr">
        <is>
          <t>delivered</t>
        </is>
      </c>
      <c r="E39" s="44" t="n"/>
      <c r="F39" s="44" t="inlineStr">
        <is>
          <t>24GJOPA4594Q1ZE</t>
        </is>
      </c>
      <c r="G39" s="44" t="inlineStr">
        <is>
          <t>Gujarat (24)</t>
        </is>
      </c>
      <c r="H39" s="44" t="inlineStr">
        <is>
          <t>5%</t>
        </is>
      </c>
      <c r="I39" s="46" t="n">
        <v>340</v>
      </c>
      <c r="J39" s="46" t="n">
        <v>340</v>
      </c>
      <c r="K39" s="46" t="n">
        <v>17</v>
      </c>
      <c r="L39" s="46" t="n">
        <v>8.5</v>
      </c>
      <c r="M39" s="46" t="n">
        <v>8.5</v>
      </c>
      <c r="N39" s="46" t="n">
        <v>17</v>
      </c>
      <c r="O39" s="46" t="n">
        <v>0</v>
      </c>
      <c r="P39" s="46" t="n">
        <v>0.34</v>
      </c>
      <c r="Q39" s="46" t="n">
        <v>238.55</v>
      </c>
      <c r="R39" s="47" t="inlineStr"/>
    </row>
    <row r="40">
      <c r="A40" s="44" t="inlineStr">
        <is>
          <t>06 – 12 Sep</t>
        </is>
      </c>
      <c r="B40" s="44" t="inlineStr">
        <is>
          <t>248187493194729</t>
        </is>
      </c>
      <c r="C40" s="45" t="n">
        <v>46277.7695949074</v>
      </c>
      <c r="D40" s="44" t="inlineStr">
        <is>
          <t>delivered</t>
        </is>
      </c>
      <c r="E40" s="44" t="n"/>
      <c r="F40" s="44" t="inlineStr">
        <is>
          <t>24GJOPA4594Q1ZE</t>
        </is>
      </c>
      <c r="G40" s="44" t="inlineStr">
        <is>
          <t>Gujarat (24)</t>
        </is>
      </c>
      <c r="H40" s="44" t="inlineStr">
        <is>
          <t>5%</t>
        </is>
      </c>
      <c r="I40" s="46" t="n">
        <v>545</v>
      </c>
      <c r="J40" s="46" t="n">
        <v>545</v>
      </c>
      <c r="K40" s="46" t="n">
        <v>27.26</v>
      </c>
      <c r="L40" s="46" t="n">
        <v>13.62</v>
      </c>
      <c r="M40" s="46" t="n">
        <v>13.63</v>
      </c>
      <c r="N40" s="46" t="n">
        <v>27.25</v>
      </c>
      <c r="O40" s="46" t="n">
        <v>0</v>
      </c>
      <c r="P40" s="46" t="n">
        <v>0.55</v>
      </c>
      <c r="Q40" s="46" t="n">
        <v>382.41</v>
      </c>
      <c r="R40" s="47" t="inlineStr"/>
    </row>
    <row r="41">
      <c r="A41" s="44" t="inlineStr">
        <is>
          <t>06 – 12 Sep</t>
        </is>
      </c>
      <c r="B41" s="44" t="inlineStr">
        <is>
          <t>248190530168896</t>
        </is>
      </c>
      <c r="C41" s="45" t="n">
        <v>46277.80474537037</v>
      </c>
      <c r="D41" s="44" t="inlineStr">
        <is>
          <t>delivered</t>
        </is>
      </c>
      <c r="E41" s="44" t="n"/>
      <c r="F41" s="44" t="inlineStr">
        <is>
          <t>24GJOPA4594Q1ZE</t>
        </is>
      </c>
      <c r="G41" s="44" t="inlineStr">
        <is>
          <t>Gujarat (24)</t>
        </is>
      </c>
      <c r="H41" s="44" t="inlineStr">
        <is>
          <t>5%</t>
        </is>
      </c>
      <c r="I41" s="46" t="n">
        <v>610</v>
      </c>
      <c r="J41" s="46" t="n">
        <v>610</v>
      </c>
      <c r="K41" s="46" t="n">
        <v>30.5</v>
      </c>
      <c r="L41" s="46" t="n">
        <v>15.25</v>
      </c>
      <c r="M41" s="46" t="n">
        <v>15.25</v>
      </c>
      <c r="N41" s="46" t="n">
        <v>30.5</v>
      </c>
      <c r="O41" s="46" t="n">
        <v>0</v>
      </c>
      <c r="P41" s="46" t="n">
        <v>0.61</v>
      </c>
      <c r="Q41" s="46" t="n">
        <v>427.99</v>
      </c>
      <c r="R41" s="47" t="inlineStr"/>
    </row>
    <row r="42">
      <c r="A42" s="44" t="inlineStr">
        <is>
          <t>06 – 12 Sep</t>
        </is>
      </c>
      <c r="B42" s="44" t="inlineStr">
        <is>
          <t>248197960190176</t>
        </is>
      </c>
      <c r="C42" s="45" t="n">
        <v>46277.89074074074</v>
      </c>
      <c r="D42" s="44" t="inlineStr">
        <is>
          <t>delivered</t>
        </is>
      </c>
      <c r="E42" s="44" t="n"/>
      <c r="F42" s="44" t="inlineStr">
        <is>
          <t>24GJOPA4594Q1ZE</t>
        </is>
      </c>
      <c r="G42" s="44" t="inlineStr">
        <is>
          <t>Gujarat (24)</t>
        </is>
      </c>
      <c r="H42" s="44" t="inlineStr">
        <is>
          <t>5%</t>
        </is>
      </c>
      <c r="I42" s="46" t="n">
        <v>300</v>
      </c>
      <c r="J42" s="46" t="n">
        <v>300</v>
      </c>
      <c r="K42" s="46" t="n">
        <v>15</v>
      </c>
      <c r="L42" s="46" t="n">
        <v>7.5</v>
      </c>
      <c r="M42" s="46" t="n">
        <v>7.5</v>
      </c>
      <c r="N42" s="46" t="n">
        <v>15</v>
      </c>
      <c r="O42" s="46" t="n">
        <v>0</v>
      </c>
      <c r="P42" s="46" t="n">
        <v>0.3</v>
      </c>
      <c r="Q42" s="46" t="n">
        <v>210.47</v>
      </c>
      <c r="R42" s="47" t="inlineStr"/>
    </row>
    <row r="43">
      <c r="A43" s="40" t="inlineStr">
        <is>
          <t>13 – 19 Sep</t>
        </is>
      </c>
      <c r="B43" s="40" t="inlineStr">
        <is>
          <t>248255741182869</t>
        </is>
      </c>
      <c r="C43" s="41" t="n">
        <v>46278.55950231481</v>
      </c>
      <c r="D43" s="40" t="inlineStr">
        <is>
          <t>delivered</t>
        </is>
      </c>
      <c r="E43" s="40" t="n"/>
      <c r="F43" s="40" t="inlineStr">
        <is>
          <t>24GJOPA4594Q1ZE</t>
        </is>
      </c>
      <c r="G43" s="40" t="inlineStr">
        <is>
          <t>Gujarat (24)</t>
        </is>
      </c>
      <c r="H43" s="40" t="inlineStr">
        <is>
          <t>5%</t>
        </is>
      </c>
      <c r="I43" s="42" t="n">
        <v>357.14</v>
      </c>
      <c r="J43" s="42" t="n">
        <v>357.14</v>
      </c>
      <c r="K43" s="42" t="n">
        <v>17.86</v>
      </c>
      <c r="L43" s="42" t="n">
        <v>8.93</v>
      </c>
      <c r="M43" s="42" t="n">
        <v>8.93</v>
      </c>
      <c r="N43" s="42" t="n">
        <v>17.86</v>
      </c>
      <c r="O43" s="42" t="n">
        <v>0</v>
      </c>
      <c r="P43" s="42" t="n">
        <v>0.36</v>
      </c>
      <c r="Q43" s="42" t="n">
        <v>250.57</v>
      </c>
      <c r="R43" s="43" t="inlineStr"/>
    </row>
    <row r="44">
      <c r="A44" s="40" t="inlineStr">
        <is>
          <t>13 – 19 Sep</t>
        </is>
      </c>
      <c r="B44" s="40" t="inlineStr">
        <is>
          <t>248277489137209</t>
        </is>
      </c>
      <c r="C44" s="41" t="n">
        <v>46278.81121527778</v>
      </c>
      <c r="D44" s="40" t="inlineStr">
        <is>
          <t>delivered</t>
        </is>
      </c>
      <c r="E44" s="40" t="n"/>
      <c r="F44" s="40" t="inlineStr">
        <is>
          <t>24GJOPA4594Q1ZE</t>
        </is>
      </c>
      <c r="G44" s="40" t="inlineStr">
        <is>
          <t>Gujarat (24)</t>
        </is>
      </c>
      <c r="H44" s="40" t="inlineStr">
        <is>
          <t>5%</t>
        </is>
      </c>
      <c r="I44" s="42" t="n">
        <v>300</v>
      </c>
      <c r="J44" s="42" t="n">
        <v>300</v>
      </c>
      <c r="K44" s="42" t="n">
        <v>15</v>
      </c>
      <c r="L44" s="42" t="n">
        <v>7.5</v>
      </c>
      <c r="M44" s="42" t="n">
        <v>7.5</v>
      </c>
      <c r="N44" s="42" t="n">
        <v>15</v>
      </c>
      <c r="O44" s="42" t="n">
        <v>0</v>
      </c>
      <c r="P44" s="42" t="n">
        <v>0.3</v>
      </c>
      <c r="Q44" s="42" t="n">
        <v>210.47</v>
      </c>
      <c r="R44" s="43" t="inlineStr"/>
    </row>
    <row r="45">
      <c r="A45" s="40" t="inlineStr">
        <is>
          <t>13 – 19 Sep</t>
        </is>
      </c>
      <c r="B45" s="40" t="inlineStr">
        <is>
          <t>248285785125021</t>
        </is>
      </c>
      <c r="C45" s="41" t="n">
        <v>46278.90723379629</v>
      </c>
      <c r="D45" s="40" t="inlineStr">
        <is>
          <t>delivered</t>
        </is>
      </c>
      <c r="E45" s="40" t="n"/>
      <c r="F45" s="40" t="inlineStr">
        <is>
          <t>24GJOPA4594Q1ZE</t>
        </is>
      </c>
      <c r="G45" s="40" t="inlineStr">
        <is>
          <t>Gujarat (24)</t>
        </is>
      </c>
      <c r="H45" s="40" t="inlineStr">
        <is>
          <t>5%</t>
        </is>
      </c>
      <c r="I45" s="42" t="n">
        <v>255</v>
      </c>
      <c r="J45" s="42" t="n">
        <v>255</v>
      </c>
      <c r="K45" s="42" t="n">
        <v>12.76</v>
      </c>
      <c r="L45" s="42" t="n">
        <v>6.38</v>
      </c>
      <c r="M45" s="42" t="n">
        <v>6.37</v>
      </c>
      <c r="N45" s="42" t="n">
        <v>12.75</v>
      </c>
      <c r="O45" s="42" t="n">
        <v>0</v>
      </c>
      <c r="P45" s="42" t="n">
        <v>0.26</v>
      </c>
      <c r="Q45" s="42" t="n">
        <v>178.9</v>
      </c>
      <c r="R45" s="43" t="inlineStr"/>
    </row>
    <row r="46">
      <c r="A46" s="40" t="inlineStr">
        <is>
          <t>13 – 19 Sep</t>
        </is>
      </c>
      <c r="B46" s="40" t="inlineStr">
        <is>
          <t>248374964142426</t>
        </is>
      </c>
      <c r="C46" s="41" t="n">
        <v>46279.93939814815</v>
      </c>
      <c r="D46" s="40" t="inlineStr">
        <is>
          <t>delivered</t>
        </is>
      </c>
      <c r="E46" s="40" t="n"/>
      <c r="F46" s="40" t="inlineStr">
        <is>
          <t>24GJOPA4594Q1ZE</t>
        </is>
      </c>
      <c r="G46" s="40" t="inlineStr">
        <is>
          <t>Gujarat (24)</t>
        </is>
      </c>
      <c r="H46" s="40" t="inlineStr">
        <is>
          <t>5%</t>
        </is>
      </c>
      <c r="I46" s="42" t="n">
        <v>330</v>
      </c>
      <c r="J46" s="42" t="n">
        <v>330</v>
      </c>
      <c r="K46" s="42" t="n">
        <v>16.5</v>
      </c>
      <c r="L46" s="42" t="n">
        <v>8.25</v>
      </c>
      <c r="M46" s="42" t="n">
        <v>8.25</v>
      </c>
      <c r="N46" s="42" t="n">
        <v>16.5</v>
      </c>
      <c r="O46" s="42" t="n">
        <v>0</v>
      </c>
      <c r="P46" s="42" t="n">
        <v>0.33</v>
      </c>
      <c r="Q46" s="42" t="n">
        <v>231.53</v>
      </c>
      <c r="R46" s="43" t="inlineStr"/>
    </row>
    <row r="47">
      <c r="A47" s="48" t="inlineStr">
        <is>
          <t>13 – 19 Sep</t>
        </is>
      </c>
      <c r="B47" s="48" t="inlineStr">
        <is>
          <t>248375315143844</t>
        </is>
      </c>
      <c r="C47" s="49" t="n">
        <v>46279.94346064814</v>
      </c>
      <c r="D47" s="48" t="inlineStr">
        <is>
          <t>cancelled</t>
        </is>
      </c>
      <c r="E47" s="48" t="inlineStr">
        <is>
          <t>SWIGGY</t>
        </is>
      </c>
      <c r="F47" s="48" t="inlineStr">
        <is>
          <t>24GJOPA4594Q1ZE</t>
        </is>
      </c>
      <c r="G47" s="48" t="inlineStr">
        <is>
          <t>Gujarat (24)</t>
        </is>
      </c>
      <c r="H47" s="48" t="inlineStr">
        <is>
          <t>5%</t>
        </is>
      </c>
      <c r="I47" s="50" t="n">
        <v>255</v>
      </c>
      <c r="J47" s="50" t="n">
        <v>255</v>
      </c>
      <c r="K47" s="50" t="n">
        <v>12.76</v>
      </c>
      <c r="L47" s="50" t="n">
        <v>6.38</v>
      </c>
      <c r="M47" s="50" t="n">
        <v>6.37</v>
      </c>
      <c r="N47" s="50" t="n">
        <v>12.75</v>
      </c>
      <c r="O47" s="50" t="n">
        <v>0</v>
      </c>
      <c r="P47" s="50" t="n">
        <v>0.26</v>
      </c>
      <c r="Q47" s="50" t="n">
        <v>178.91</v>
      </c>
      <c r="R47" s="51" t="inlineStr">
        <is>
          <t>Cancelled by SWIGGY — GST retained is ₹0.00 lower than GST collected</t>
        </is>
      </c>
    </row>
    <row r="48">
      <c r="A48" s="40" t="inlineStr">
        <is>
          <t>13 – 19 Sep</t>
        </is>
      </c>
      <c r="B48" s="40" t="inlineStr">
        <is>
          <t>248533160152104</t>
        </is>
      </c>
      <c r="C48" s="41" t="n">
        <v>46281.77037037037</v>
      </c>
      <c r="D48" s="40" t="inlineStr">
        <is>
          <t>delivered</t>
        </is>
      </c>
      <c r="E48" s="40" t="n"/>
      <c r="F48" s="40" t="inlineStr">
        <is>
          <t>24GJOPA4594Q1ZE</t>
        </is>
      </c>
      <c r="G48" s="40" t="inlineStr">
        <is>
          <t>Gujarat (24)</t>
        </is>
      </c>
      <c r="H48" s="40" t="inlineStr">
        <is>
          <t>5%</t>
        </is>
      </c>
      <c r="I48" s="42" t="n">
        <v>825</v>
      </c>
      <c r="J48" s="42" t="n">
        <v>825</v>
      </c>
      <c r="K48" s="42" t="n">
        <v>41.26</v>
      </c>
      <c r="L48" s="42" t="n">
        <v>20.62</v>
      </c>
      <c r="M48" s="42" t="n">
        <v>20.63</v>
      </c>
      <c r="N48" s="42" t="n">
        <v>41.25</v>
      </c>
      <c r="O48" s="42" t="n">
        <v>0</v>
      </c>
      <c r="P48" s="42" t="n">
        <v>0.83</v>
      </c>
      <c r="Q48" s="42" t="n">
        <v>578.86</v>
      </c>
      <c r="R48" s="43" t="inlineStr"/>
    </row>
    <row r="49">
      <c r="A49" s="40" t="inlineStr">
        <is>
          <t>13 – 19 Sep</t>
        </is>
      </c>
      <c r="B49" s="40" t="inlineStr">
        <is>
          <t>248538278162858</t>
        </is>
      </c>
      <c r="C49" s="41" t="n">
        <v>46281.82960648148</v>
      </c>
      <c r="D49" s="40" t="inlineStr">
        <is>
          <t>delivered</t>
        </is>
      </c>
      <c r="E49" s="40" t="n"/>
      <c r="F49" s="40" t="inlineStr">
        <is>
          <t>24GJOPA4594Q1ZE</t>
        </is>
      </c>
      <c r="G49" s="40" t="inlineStr">
        <is>
          <t>Gujarat (24)</t>
        </is>
      </c>
      <c r="H49" s="40" t="inlineStr">
        <is>
          <t>5%</t>
        </is>
      </c>
      <c r="I49" s="42" t="n">
        <v>1100</v>
      </c>
      <c r="J49" s="42" t="n">
        <v>1100</v>
      </c>
      <c r="K49" s="42" t="n">
        <v>55</v>
      </c>
      <c r="L49" s="42" t="n">
        <v>27.5</v>
      </c>
      <c r="M49" s="42" t="n">
        <v>27.5</v>
      </c>
      <c r="N49" s="42" t="n">
        <v>55</v>
      </c>
      <c r="O49" s="42" t="n">
        <v>0</v>
      </c>
      <c r="P49" s="42" t="n">
        <v>1.1</v>
      </c>
      <c r="Q49" s="42" t="n">
        <v>771.79</v>
      </c>
      <c r="R49" s="43" t="inlineStr"/>
    </row>
    <row r="50">
      <c r="A50" s="40" t="inlineStr">
        <is>
          <t>13 – 19 Sep</t>
        </is>
      </c>
      <c r="B50" s="40" t="inlineStr">
        <is>
          <t>248538741126866</t>
        </is>
      </c>
      <c r="C50" s="41" t="n">
        <v>46281.83496527778</v>
      </c>
      <c r="D50" s="40" t="inlineStr">
        <is>
          <t>delivered</t>
        </is>
      </c>
      <c r="E50" s="40" t="n"/>
      <c r="F50" s="40" t="inlineStr">
        <is>
          <t>24GJOPA4594Q1ZE</t>
        </is>
      </c>
      <c r="G50" s="40" t="inlineStr">
        <is>
          <t>Gujarat (24)</t>
        </is>
      </c>
      <c r="H50" s="40" t="inlineStr">
        <is>
          <t>5%</t>
        </is>
      </c>
      <c r="I50" s="42" t="n">
        <v>920</v>
      </c>
      <c r="J50" s="42" t="n">
        <v>920</v>
      </c>
      <c r="K50" s="42" t="n">
        <v>46</v>
      </c>
      <c r="L50" s="42" t="n">
        <v>23</v>
      </c>
      <c r="M50" s="42" t="n">
        <v>23</v>
      </c>
      <c r="N50" s="42" t="n">
        <v>46</v>
      </c>
      <c r="O50" s="42" t="n">
        <v>0</v>
      </c>
      <c r="P50" s="42" t="n">
        <v>0.92</v>
      </c>
      <c r="Q50" s="42" t="n">
        <v>645.52</v>
      </c>
      <c r="R50" s="43" t="inlineStr"/>
    </row>
    <row r="51">
      <c r="A51" s="40" t="inlineStr">
        <is>
          <t>13 – 19 Sep</t>
        </is>
      </c>
      <c r="B51" s="40" t="inlineStr">
        <is>
          <t>248619427108229</t>
        </is>
      </c>
      <c r="C51" s="41" t="n">
        <v>46282.76883101852</v>
      </c>
      <c r="D51" s="40" t="inlineStr">
        <is>
          <t>delivered</t>
        </is>
      </c>
      <c r="E51" s="40" t="n"/>
      <c r="F51" s="40" t="inlineStr">
        <is>
          <t>24GJOPA4594Q1ZE</t>
        </is>
      </c>
      <c r="G51" s="40" t="inlineStr">
        <is>
          <t>Gujarat (24)</t>
        </is>
      </c>
      <c r="H51" s="40" t="inlineStr">
        <is>
          <t>5%</t>
        </is>
      </c>
      <c r="I51" s="42" t="n">
        <v>620</v>
      </c>
      <c r="J51" s="42" t="n">
        <v>620</v>
      </c>
      <c r="K51" s="42" t="n">
        <v>31</v>
      </c>
      <c r="L51" s="42" t="n">
        <v>15.5</v>
      </c>
      <c r="M51" s="42" t="n">
        <v>15.5</v>
      </c>
      <c r="N51" s="42" t="n">
        <v>31</v>
      </c>
      <c r="O51" s="42" t="n">
        <v>0</v>
      </c>
      <c r="P51" s="42" t="n">
        <v>0.62</v>
      </c>
      <c r="Q51" s="42" t="n">
        <v>435</v>
      </c>
      <c r="R51" s="43" t="inlineStr"/>
    </row>
    <row r="52">
      <c r="A52" s="40" t="inlineStr">
        <is>
          <t>13 – 19 Sep</t>
        </is>
      </c>
      <c r="B52" s="40" t="inlineStr">
        <is>
          <t>248624481174640</t>
        </is>
      </c>
      <c r="C52" s="41" t="n">
        <v>46282.82732638889</v>
      </c>
      <c r="D52" s="40" t="inlineStr">
        <is>
          <t>delivered</t>
        </is>
      </c>
      <c r="E52" s="40" t="n"/>
      <c r="F52" s="40" t="inlineStr">
        <is>
          <t>24GJOPA4594Q1ZE</t>
        </is>
      </c>
      <c r="G52" s="40" t="inlineStr">
        <is>
          <t>Gujarat (24)</t>
        </is>
      </c>
      <c r="H52" s="40" t="inlineStr">
        <is>
          <t>5%</t>
        </is>
      </c>
      <c r="I52" s="42" t="n">
        <v>675</v>
      </c>
      <c r="J52" s="42" t="n">
        <v>675</v>
      </c>
      <c r="K52" s="42" t="n">
        <v>33.76</v>
      </c>
      <c r="L52" s="42" t="n">
        <v>16.88</v>
      </c>
      <c r="M52" s="42" t="n">
        <v>16.87</v>
      </c>
      <c r="N52" s="42" t="n">
        <v>33.75</v>
      </c>
      <c r="O52" s="42" t="n">
        <v>0</v>
      </c>
      <c r="P52" s="42" t="n">
        <v>0.68</v>
      </c>
      <c r="Q52" s="42" t="n">
        <v>473.61</v>
      </c>
      <c r="R52" s="43" t="inlineStr"/>
    </row>
    <row r="53">
      <c r="A53" s="48" t="inlineStr">
        <is>
          <t>13 – 19 Sep</t>
        </is>
      </c>
      <c r="B53" s="48" t="inlineStr">
        <is>
          <t>248720968199579</t>
        </is>
      </c>
      <c r="C53" s="49" t="n">
        <v>46283.94407407408</v>
      </c>
      <c r="D53" s="48" t="inlineStr">
        <is>
          <t>cancelled</t>
        </is>
      </c>
      <c r="E53" s="48" t="inlineStr">
        <is>
          <t>MERCHANT</t>
        </is>
      </c>
      <c r="F53" s="48" t="inlineStr">
        <is>
          <t>24GJOPA4594Q1ZE</t>
        </is>
      </c>
      <c r="G53" s="48" t="inlineStr">
        <is>
          <t>Gujarat (24)</t>
        </is>
      </c>
      <c r="H53" s="48" t="inlineStr">
        <is>
          <t>5%</t>
        </is>
      </c>
      <c r="I53" s="50" t="n">
        <v>0</v>
      </c>
      <c r="J53" s="50" t="n">
        <v>0</v>
      </c>
      <c r="K53" s="50" t="n">
        <v>0</v>
      </c>
      <c r="L53" s="50" t="n">
        <v>0</v>
      </c>
      <c r="M53" s="50" t="n">
        <v>0</v>
      </c>
      <c r="N53" s="50" t="n">
        <v>0</v>
      </c>
      <c r="O53" s="50" t="n">
        <v>0</v>
      </c>
      <c r="P53" s="50" t="n">
        <v>0</v>
      </c>
      <c r="Q53" s="50" t="n">
        <v>-49.56</v>
      </c>
      <c r="R53" s="51" t="inlineStr">
        <is>
          <t>Cancelled by MERCHANT — GST retained is ₹0.00 lower than GST collected</t>
        </is>
      </c>
    </row>
    <row r="54">
      <c r="A54" s="40" t="inlineStr">
        <is>
          <t>13 – 19 Sep</t>
        </is>
      </c>
      <c r="B54" s="40" t="inlineStr">
        <is>
          <t>248724159159116</t>
        </is>
      </c>
      <c r="C54" s="41" t="n">
        <v>46283.98100694444</v>
      </c>
      <c r="D54" s="40" t="inlineStr">
        <is>
          <t>delivered</t>
        </is>
      </c>
      <c r="E54" s="40" t="n"/>
      <c r="F54" s="40" t="inlineStr">
        <is>
          <t>24GJOPA4594Q1ZE</t>
        </is>
      </c>
      <c r="G54" s="40" t="inlineStr">
        <is>
          <t>Gujarat (24)</t>
        </is>
      </c>
      <c r="H54" s="40" t="inlineStr">
        <is>
          <t>5%</t>
        </is>
      </c>
      <c r="I54" s="42" t="n">
        <v>330</v>
      </c>
      <c r="J54" s="42" t="n">
        <v>330</v>
      </c>
      <c r="K54" s="42" t="n">
        <v>16.5</v>
      </c>
      <c r="L54" s="42" t="n">
        <v>8.25</v>
      </c>
      <c r="M54" s="42" t="n">
        <v>8.25</v>
      </c>
      <c r="N54" s="42" t="n">
        <v>16.5</v>
      </c>
      <c r="O54" s="42" t="n">
        <v>0</v>
      </c>
      <c r="P54" s="42" t="n">
        <v>0.33</v>
      </c>
      <c r="Q54" s="42" t="n">
        <v>231.53</v>
      </c>
      <c r="R54" s="43" t="inlineStr"/>
    </row>
    <row r="55">
      <c r="A55" s="40" t="inlineStr">
        <is>
          <t>13 – 19 Sep</t>
        </is>
      </c>
      <c r="B55" s="40" t="inlineStr">
        <is>
          <t>248776179193539</t>
        </is>
      </c>
      <c r="C55" s="41" t="n">
        <v>46284.58309027777</v>
      </c>
      <c r="D55" s="40" t="inlineStr">
        <is>
          <t>delivered</t>
        </is>
      </c>
      <c r="E55" s="40" t="n"/>
      <c r="F55" s="40" t="inlineStr">
        <is>
          <t>24GJOPA4594Q1ZE</t>
        </is>
      </c>
      <c r="G55" s="40" t="inlineStr">
        <is>
          <t>Gujarat (24)</t>
        </is>
      </c>
      <c r="H55" s="40" t="inlineStr">
        <is>
          <t>5%</t>
        </is>
      </c>
      <c r="I55" s="42" t="n">
        <v>660</v>
      </c>
      <c r="J55" s="42" t="n">
        <v>660</v>
      </c>
      <c r="K55" s="42" t="n">
        <v>33</v>
      </c>
      <c r="L55" s="42" t="n">
        <v>16.5</v>
      </c>
      <c r="M55" s="42" t="n">
        <v>16.5</v>
      </c>
      <c r="N55" s="42" t="n">
        <v>33</v>
      </c>
      <c r="O55" s="42" t="n">
        <v>0</v>
      </c>
      <c r="P55" s="42" t="n">
        <v>0.66</v>
      </c>
      <c r="Q55" s="42" t="n">
        <v>463.07</v>
      </c>
      <c r="R55" s="43" t="inlineStr"/>
    </row>
    <row r="56">
      <c r="A56" s="40" t="inlineStr">
        <is>
          <t>13 – 19 Sep</t>
        </is>
      </c>
      <c r="B56" s="40" t="inlineStr">
        <is>
          <t>248780545123593</t>
        </is>
      </c>
      <c r="C56" s="41" t="n">
        <v>46284.63362268519</v>
      </c>
      <c r="D56" s="40" t="inlineStr">
        <is>
          <t>delivered</t>
        </is>
      </c>
      <c r="E56" s="40" t="n"/>
      <c r="F56" s="40" t="inlineStr">
        <is>
          <t>24GJOPA4594Q1ZE</t>
        </is>
      </c>
      <c r="G56" s="40" t="inlineStr">
        <is>
          <t>Gujarat (24)</t>
        </is>
      </c>
      <c r="H56" s="40" t="inlineStr">
        <is>
          <t>5%</t>
        </is>
      </c>
      <c r="I56" s="42" t="n">
        <v>545</v>
      </c>
      <c r="J56" s="42" t="n">
        <v>545</v>
      </c>
      <c r="K56" s="42" t="n">
        <v>27.26</v>
      </c>
      <c r="L56" s="42" t="n">
        <v>13.62</v>
      </c>
      <c r="M56" s="42" t="n">
        <v>13.63</v>
      </c>
      <c r="N56" s="42" t="n">
        <v>27.25</v>
      </c>
      <c r="O56" s="42" t="n">
        <v>0</v>
      </c>
      <c r="P56" s="42" t="n">
        <v>0.55</v>
      </c>
      <c r="Q56" s="42" t="n">
        <v>382.41</v>
      </c>
      <c r="R56" s="43" t="inlineStr"/>
    </row>
    <row r="57">
      <c r="A57" s="40" t="inlineStr">
        <is>
          <t>13 – 19 Sep</t>
        </is>
      </c>
      <c r="B57" s="40" t="inlineStr">
        <is>
          <t>248802835164086</t>
        </is>
      </c>
      <c r="C57" s="41" t="n">
        <v>46284.89160879629</v>
      </c>
      <c r="D57" s="40" t="inlineStr">
        <is>
          <t>delivered</t>
        </is>
      </c>
      <c r="E57" s="40" t="n"/>
      <c r="F57" s="40" t="inlineStr">
        <is>
          <t>24GJOPA4594Q1ZE</t>
        </is>
      </c>
      <c r="G57" s="40" t="inlineStr">
        <is>
          <t>Gujarat (24)</t>
        </is>
      </c>
      <c r="H57" s="40" t="inlineStr">
        <is>
          <t>5%</t>
        </is>
      </c>
      <c r="I57" s="42" t="n">
        <v>330</v>
      </c>
      <c r="J57" s="42" t="n">
        <v>330</v>
      </c>
      <c r="K57" s="42" t="n">
        <v>16.5</v>
      </c>
      <c r="L57" s="42" t="n">
        <v>8.25</v>
      </c>
      <c r="M57" s="42" t="n">
        <v>8.25</v>
      </c>
      <c r="N57" s="42" t="n">
        <v>16.5</v>
      </c>
      <c r="O57" s="42" t="n">
        <v>0</v>
      </c>
      <c r="P57" s="42" t="n">
        <v>0.33</v>
      </c>
      <c r="Q57" s="42" t="n">
        <v>231.53</v>
      </c>
      <c r="R57" s="43" t="inlineStr"/>
    </row>
    <row r="58">
      <c r="A58" s="40" t="inlineStr">
        <is>
          <t>13 – 19 Sep</t>
        </is>
      </c>
      <c r="B58" s="40" t="inlineStr">
        <is>
          <t>248805456157508</t>
        </is>
      </c>
      <c r="C58" s="41" t="n">
        <v>46284.92194444445</v>
      </c>
      <c r="D58" s="40" t="inlineStr">
        <is>
          <t>delivered</t>
        </is>
      </c>
      <c r="E58" s="40" t="n"/>
      <c r="F58" s="40" t="inlineStr">
        <is>
          <t>24GJOPA4594Q1ZE</t>
        </is>
      </c>
      <c r="G58" s="40" t="inlineStr">
        <is>
          <t>Gujarat (24)</t>
        </is>
      </c>
      <c r="H58" s="40" t="inlineStr">
        <is>
          <t>5%</t>
        </is>
      </c>
      <c r="I58" s="42" t="n">
        <v>620</v>
      </c>
      <c r="J58" s="42" t="n">
        <v>620</v>
      </c>
      <c r="K58" s="42" t="n">
        <v>31</v>
      </c>
      <c r="L58" s="42" t="n">
        <v>15.5</v>
      </c>
      <c r="M58" s="42" t="n">
        <v>15.5</v>
      </c>
      <c r="N58" s="42" t="n">
        <v>31</v>
      </c>
      <c r="O58" s="42" t="n">
        <v>0</v>
      </c>
      <c r="P58" s="42" t="n">
        <v>0.62</v>
      </c>
      <c r="Q58" s="42" t="n">
        <v>435</v>
      </c>
      <c r="R58" s="43" t="inlineStr"/>
    </row>
    <row r="59">
      <c r="A59" s="40" t="inlineStr">
        <is>
          <t>13 – 19 Sep</t>
        </is>
      </c>
      <c r="B59" s="40" t="inlineStr">
        <is>
          <t>248809212113962</t>
        </is>
      </c>
      <c r="C59" s="41" t="n">
        <v>46284.96541666667</v>
      </c>
      <c r="D59" s="40" t="inlineStr">
        <is>
          <t>delivered</t>
        </is>
      </c>
      <c r="E59" s="40" t="n"/>
      <c r="F59" s="40" t="inlineStr">
        <is>
          <t>24GJOPA4594Q1ZE</t>
        </is>
      </c>
      <c r="G59" s="40" t="inlineStr">
        <is>
          <t>Gujarat (24)</t>
        </is>
      </c>
      <c r="H59" s="40" t="inlineStr">
        <is>
          <t>5%</t>
        </is>
      </c>
      <c r="I59" s="42" t="n">
        <v>580</v>
      </c>
      <c r="J59" s="42" t="n">
        <v>580</v>
      </c>
      <c r="K59" s="42" t="n">
        <v>29</v>
      </c>
      <c r="L59" s="42" t="n">
        <v>14.5</v>
      </c>
      <c r="M59" s="42" t="n">
        <v>14.5</v>
      </c>
      <c r="N59" s="42" t="n">
        <v>29</v>
      </c>
      <c r="O59" s="42" t="n">
        <v>0</v>
      </c>
      <c r="P59" s="42" t="n">
        <v>0.58</v>
      </c>
      <c r="Q59" s="42" t="n">
        <v>406.95</v>
      </c>
      <c r="R59" s="43" t="inlineStr"/>
    </row>
    <row r="60">
      <c r="A60" s="44" t="inlineStr">
        <is>
          <t>20 – 26 Sep</t>
        </is>
      </c>
      <c r="B60" s="44" t="inlineStr">
        <is>
          <t>248896061169799</t>
        </is>
      </c>
      <c r="C60" s="45" t="n">
        <v>46285.97061342592</v>
      </c>
      <c r="D60" s="44" t="inlineStr">
        <is>
          <t>delivered</t>
        </is>
      </c>
      <c r="E60" s="44" t="n"/>
      <c r="F60" s="44" t="inlineStr">
        <is>
          <t>24GJOPA4594Q1ZE</t>
        </is>
      </c>
      <c r="G60" s="44" t="inlineStr">
        <is>
          <t>Gujarat (24)</t>
        </is>
      </c>
      <c r="H60" s="44" t="inlineStr">
        <is>
          <t>5%</t>
        </is>
      </c>
      <c r="I60" s="46" t="n">
        <v>290</v>
      </c>
      <c r="J60" s="46" t="n">
        <v>290</v>
      </c>
      <c r="K60" s="46" t="n">
        <v>14.5</v>
      </c>
      <c r="L60" s="46" t="n">
        <v>7.25</v>
      </c>
      <c r="M60" s="46" t="n">
        <v>7.25</v>
      </c>
      <c r="N60" s="46" t="n">
        <v>14.5</v>
      </c>
      <c r="O60" s="46" t="n">
        <v>0</v>
      </c>
      <c r="P60" s="46" t="n">
        <v>0.29</v>
      </c>
      <c r="Q60" s="46" t="n">
        <v>203.49</v>
      </c>
      <c r="R60" s="47" t="inlineStr"/>
    </row>
    <row r="61">
      <c r="A61" s="44" t="inlineStr">
        <is>
          <t>20 – 26 Sep</t>
        </is>
      </c>
      <c r="B61" s="44" t="inlineStr">
        <is>
          <t>248950841134592</t>
        </is>
      </c>
      <c r="C61" s="45" t="n">
        <v>46286.6046412037</v>
      </c>
      <c r="D61" s="44" t="inlineStr">
        <is>
          <t>delivered</t>
        </is>
      </c>
      <c r="E61" s="44" t="n"/>
      <c r="F61" s="44" t="inlineStr">
        <is>
          <t>24GJOPA4594Q1ZE</t>
        </is>
      </c>
      <c r="G61" s="44" t="inlineStr">
        <is>
          <t>Gujarat (24)</t>
        </is>
      </c>
      <c r="H61" s="44" t="inlineStr">
        <is>
          <t>5%</t>
        </is>
      </c>
      <c r="I61" s="46" t="n">
        <v>620</v>
      </c>
      <c r="J61" s="46" t="n">
        <v>620</v>
      </c>
      <c r="K61" s="46" t="n">
        <v>31</v>
      </c>
      <c r="L61" s="46" t="n">
        <v>15.5</v>
      </c>
      <c r="M61" s="46" t="n">
        <v>15.5</v>
      </c>
      <c r="N61" s="46" t="n">
        <v>31</v>
      </c>
      <c r="O61" s="46" t="n">
        <v>0</v>
      </c>
      <c r="P61" s="46" t="n">
        <v>0.62</v>
      </c>
      <c r="Q61" s="46" t="n">
        <v>435</v>
      </c>
      <c r="R61" s="47" t="inlineStr"/>
    </row>
    <row r="62">
      <c r="A62" s="44" t="inlineStr">
        <is>
          <t>20 – 26 Sep</t>
        </is>
      </c>
      <c r="B62" s="44" t="inlineStr">
        <is>
          <t>248967728138197</t>
        </is>
      </c>
      <c r="C62" s="45" t="n">
        <v>46286.8000925926</v>
      </c>
      <c r="D62" s="44" t="inlineStr">
        <is>
          <t>delivered</t>
        </is>
      </c>
      <c r="E62" s="44" t="n"/>
      <c r="F62" s="44" t="inlineStr">
        <is>
          <t>24GJOPA4594Q1ZE</t>
        </is>
      </c>
      <c r="G62" s="44" t="inlineStr">
        <is>
          <t>Gujarat (24)</t>
        </is>
      </c>
      <c r="H62" s="44" t="inlineStr">
        <is>
          <t>5%</t>
        </is>
      </c>
      <c r="I62" s="46" t="n">
        <v>255</v>
      </c>
      <c r="J62" s="46" t="n">
        <v>255</v>
      </c>
      <c r="K62" s="46" t="n">
        <v>12.76</v>
      </c>
      <c r="L62" s="46" t="n">
        <v>6.38</v>
      </c>
      <c r="M62" s="46" t="n">
        <v>6.37</v>
      </c>
      <c r="N62" s="46" t="n">
        <v>12.75</v>
      </c>
      <c r="O62" s="46" t="n">
        <v>0</v>
      </c>
      <c r="P62" s="46" t="n">
        <v>0.26</v>
      </c>
      <c r="Q62" s="46" t="n">
        <v>178.9</v>
      </c>
      <c r="R62" s="47" t="inlineStr"/>
    </row>
    <row r="63">
      <c r="A63" s="44" t="inlineStr">
        <is>
          <t>20 – 26 Sep</t>
        </is>
      </c>
      <c r="B63" s="44" t="inlineStr">
        <is>
          <t>248980723174481</t>
        </is>
      </c>
      <c r="C63" s="45" t="n">
        <v>46286.95049768518</v>
      </c>
      <c r="D63" s="44" t="inlineStr">
        <is>
          <t>delivered</t>
        </is>
      </c>
      <c r="E63" s="44" t="n"/>
      <c r="F63" s="44" t="inlineStr">
        <is>
          <t>24GJOPA4594Q1ZE</t>
        </is>
      </c>
      <c r="G63" s="44" t="inlineStr">
        <is>
          <t>Gujarat (24)</t>
        </is>
      </c>
      <c r="H63" s="44" t="inlineStr">
        <is>
          <t>5%</t>
        </is>
      </c>
      <c r="I63" s="46" t="n">
        <v>560</v>
      </c>
      <c r="J63" s="46" t="n">
        <v>560</v>
      </c>
      <c r="K63" s="46" t="n">
        <v>28</v>
      </c>
      <c r="L63" s="46" t="n">
        <v>14</v>
      </c>
      <c r="M63" s="46" t="n">
        <v>14</v>
      </c>
      <c r="N63" s="46" t="n">
        <v>28</v>
      </c>
      <c r="O63" s="46" t="n">
        <v>0</v>
      </c>
      <c r="P63" s="46" t="n">
        <v>0.5600000000000001</v>
      </c>
      <c r="Q63" s="46" t="n">
        <v>392.92</v>
      </c>
      <c r="R63" s="47" t="inlineStr"/>
    </row>
    <row r="64">
      <c r="A64" s="44" t="inlineStr">
        <is>
          <t>20 – 26 Sep</t>
        </is>
      </c>
      <c r="B64" s="44" t="inlineStr">
        <is>
          <t>249207688133751</t>
        </is>
      </c>
      <c r="C64" s="45" t="n">
        <v>46289.57740740741</v>
      </c>
      <c r="D64" s="44" t="inlineStr">
        <is>
          <t>delivered</t>
        </is>
      </c>
      <c r="E64" s="44" t="n"/>
      <c r="F64" s="44" t="inlineStr">
        <is>
          <t>24GJOPA4594Q1ZE</t>
        </is>
      </c>
      <c r="G64" s="44" t="inlineStr">
        <is>
          <t>Gujarat (24)</t>
        </is>
      </c>
      <c r="H64" s="44" t="inlineStr">
        <is>
          <t>5%</t>
        </is>
      </c>
      <c r="I64" s="46" t="n">
        <v>290</v>
      </c>
      <c r="J64" s="46" t="n">
        <v>290</v>
      </c>
      <c r="K64" s="46" t="n">
        <v>14.5</v>
      </c>
      <c r="L64" s="46" t="n">
        <v>7.25</v>
      </c>
      <c r="M64" s="46" t="n">
        <v>7.25</v>
      </c>
      <c r="N64" s="46" t="n">
        <v>14.5</v>
      </c>
      <c r="O64" s="46" t="n">
        <v>0</v>
      </c>
      <c r="P64" s="46" t="n">
        <v>0.29</v>
      </c>
      <c r="Q64" s="46" t="n">
        <v>203.49</v>
      </c>
      <c r="R64" s="47" t="inlineStr"/>
    </row>
    <row r="65">
      <c r="A65" s="44" t="inlineStr">
        <is>
          <t>20 – 26 Sep</t>
        </is>
      </c>
      <c r="B65" s="44" t="inlineStr">
        <is>
          <t>249221271120642</t>
        </is>
      </c>
      <c r="C65" s="45" t="n">
        <v>46289.73461805555</v>
      </c>
      <c r="D65" s="44" t="inlineStr">
        <is>
          <t>delivered</t>
        </is>
      </c>
      <c r="E65" s="44" t="n"/>
      <c r="F65" s="44" t="inlineStr">
        <is>
          <t>24GJOPA4594Q1ZE</t>
        </is>
      </c>
      <c r="G65" s="44" t="inlineStr">
        <is>
          <t>Gujarat (24)</t>
        </is>
      </c>
      <c r="H65" s="44" t="inlineStr">
        <is>
          <t>5%</t>
        </is>
      </c>
      <c r="I65" s="46" t="n">
        <v>595</v>
      </c>
      <c r="J65" s="46" t="n">
        <v>595</v>
      </c>
      <c r="K65" s="46" t="n">
        <v>29.76</v>
      </c>
      <c r="L65" s="46" t="n">
        <v>14.88</v>
      </c>
      <c r="M65" s="46" t="n">
        <v>14.87</v>
      </c>
      <c r="N65" s="46" t="n">
        <v>29.75</v>
      </c>
      <c r="O65" s="46" t="n">
        <v>0</v>
      </c>
      <c r="P65" s="46" t="n">
        <v>0.59</v>
      </c>
      <c r="Q65" s="46" t="n">
        <v>417.47</v>
      </c>
      <c r="R65" s="47" t="inlineStr"/>
    </row>
    <row r="66">
      <c r="A66" s="44" t="inlineStr">
        <is>
          <t>20 – 26 Sep</t>
        </is>
      </c>
      <c r="B66" s="44" t="inlineStr">
        <is>
          <t>249224015143912</t>
        </is>
      </c>
      <c r="C66" s="45" t="n">
        <v>46289.76637731482</v>
      </c>
      <c r="D66" s="44" t="inlineStr">
        <is>
          <t>delivered</t>
        </is>
      </c>
      <c r="E66" s="44" t="n"/>
      <c r="F66" s="44" t="inlineStr">
        <is>
          <t>24GJOPA4594Q1ZE</t>
        </is>
      </c>
      <c r="G66" s="44" t="inlineStr">
        <is>
          <t>Gujarat (24)</t>
        </is>
      </c>
      <c r="H66" s="44" t="inlineStr">
        <is>
          <t>5%</t>
        </is>
      </c>
      <c r="I66" s="46" t="n">
        <v>585</v>
      </c>
      <c r="J66" s="46" t="n">
        <v>585</v>
      </c>
      <c r="K66" s="46" t="n">
        <v>29.26</v>
      </c>
      <c r="L66" s="46" t="n">
        <v>14.62</v>
      </c>
      <c r="M66" s="46" t="n">
        <v>14.63</v>
      </c>
      <c r="N66" s="46" t="n">
        <v>29.25</v>
      </c>
      <c r="O66" s="46" t="n">
        <v>0</v>
      </c>
      <c r="P66" s="46" t="n">
        <v>0.58</v>
      </c>
      <c r="Q66" s="46" t="n">
        <v>410.48</v>
      </c>
      <c r="R66" s="47" t="inlineStr"/>
    </row>
    <row r="67">
      <c r="A67" s="44" t="inlineStr">
        <is>
          <t>20 – 26 Sep</t>
        </is>
      </c>
      <c r="B67" s="44" t="inlineStr">
        <is>
          <t>249229697195792</t>
        </is>
      </c>
      <c r="C67" s="45" t="n">
        <v>46289.8321412037</v>
      </c>
      <c r="D67" s="44" t="inlineStr">
        <is>
          <t>delivered</t>
        </is>
      </c>
      <c r="E67" s="44" t="n"/>
      <c r="F67" s="44" t="inlineStr">
        <is>
          <t>24GJOPA4594Q1ZE</t>
        </is>
      </c>
      <c r="G67" s="44" t="inlineStr">
        <is>
          <t>Gujarat (24)</t>
        </is>
      </c>
      <c r="H67" s="44" t="inlineStr">
        <is>
          <t>5%</t>
        </is>
      </c>
      <c r="I67" s="46" t="n">
        <v>1550</v>
      </c>
      <c r="J67" s="46" t="n">
        <v>1550</v>
      </c>
      <c r="K67" s="46" t="n">
        <v>77.5</v>
      </c>
      <c r="L67" s="46" t="n">
        <v>38.75</v>
      </c>
      <c r="M67" s="46" t="n">
        <v>38.75</v>
      </c>
      <c r="N67" s="46" t="n">
        <v>77.5</v>
      </c>
      <c r="O67" s="46" t="n">
        <v>0</v>
      </c>
      <c r="P67" s="46" t="n">
        <v>1.55</v>
      </c>
      <c r="Q67" s="46" t="n">
        <v>1087.53</v>
      </c>
      <c r="R67" s="47" t="inlineStr"/>
    </row>
    <row r="68">
      <c r="A68" s="44" t="inlineStr">
        <is>
          <t>20 – 26 Sep</t>
        </is>
      </c>
      <c r="B68" s="44" t="inlineStr">
        <is>
          <t>249412990118476</t>
        </is>
      </c>
      <c r="C68" s="45" t="n">
        <v>46291.95358796296</v>
      </c>
      <c r="D68" s="44" t="inlineStr">
        <is>
          <t>delivered</t>
        </is>
      </c>
      <c r="E68" s="44" t="n"/>
      <c r="F68" s="44" t="inlineStr">
        <is>
          <t>24GJOPA4594Q1ZE</t>
        </is>
      </c>
      <c r="G68" s="44" t="inlineStr">
        <is>
          <t>Gujarat (24)</t>
        </is>
      </c>
      <c r="H68" s="44" t="inlineStr">
        <is>
          <t>5%</t>
        </is>
      </c>
      <c r="I68" s="46" t="n">
        <v>300</v>
      </c>
      <c r="J68" s="46" t="n">
        <v>300</v>
      </c>
      <c r="K68" s="46" t="n">
        <v>15</v>
      </c>
      <c r="L68" s="46" t="n">
        <v>7.5</v>
      </c>
      <c r="M68" s="46" t="n">
        <v>7.5</v>
      </c>
      <c r="N68" s="46" t="n">
        <v>15</v>
      </c>
      <c r="O68" s="46" t="n">
        <v>0</v>
      </c>
      <c r="P68" s="46" t="n">
        <v>0.3</v>
      </c>
      <c r="Q68" s="46" t="n">
        <v>210.47</v>
      </c>
      <c r="R68" s="47" t="inlineStr"/>
    </row>
    <row r="69">
      <c r="A69" s="40" t="inlineStr">
        <is>
          <t>27 – 30 Sep</t>
        </is>
      </c>
      <c r="B69" s="40" t="inlineStr">
        <is>
          <t>249474900177255</t>
        </is>
      </c>
      <c r="C69" s="41" t="n">
        <v>46292.67013888889</v>
      </c>
      <c r="D69" s="40" t="inlineStr">
        <is>
          <t>delivered</t>
        </is>
      </c>
      <c r="E69" s="40" t="n"/>
      <c r="F69" s="40" t="inlineStr">
        <is>
          <t>24GJOPA4594Q1ZE</t>
        </is>
      </c>
      <c r="G69" s="40" t="inlineStr">
        <is>
          <t>Gujarat (24)</t>
        </is>
      </c>
      <c r="H69" s="40" t="inlineStr">
        <is>
          <t>5%</t>
        </is>
      </c>
      <c r="I69" s="42" t="n">
        <v>555</v>
      </c>
      <c r="J69" s="42" t="n">
        <v>555</v>
      </c>
      <c r="K69" s="42" t="n">
        <v>27.76</v>
      </c>
      <c r="L69" s="42" t="n">
        <v>13.88</v>
      </c>
      <c r="M69" s="42" t="n">
        <v>13.87</v>
      </c>
      <c r="N69" s="42" t="n">
        <v>27.75</v>
      </c>
      <c r="O69" s="42" t="n">
        <v>0</v>
      </c>
      <c r="P69" s="42" t="n">
        <v>0.5600000000000001</v>
      </c>
      <c r="Q69" s="42" t="n">
        <v>389.42</v>
      </c>
      <c r="R69" s="43" t="inlineStr"/>
    </row>
    <row r="70">
      <c r="A70" s="40" t="inlineStr">
        <is>
          <t>27 – 30 Sep</t>
        </is>
      </c>
      <c r="B70" s="40" t="inlineStr">
        <is>
          <t>249492250176487</t>
        </is>
      </c>
      <c r="C70" s="41" t="n">
        <v>46292.87094907407</v>
      </c>
      <c r="D70" s="40" t="inlineStr">
        <is>
          <t>delivered</t>
        </is>
      </c>
      <c r="E70" s="40" t="n"/>
      <c r="F70" s="40" t="inlineStr">
        <is>
          <t>24GJOPA4594Q1ZE</t>
        </is>
      </c>
      <c r="G70" s="40" t="inlineStr">
        <is>
          <t>Gujarat (24)</t>
        </is>
      </c>
      <c r="H70" s="40" t="inlineStr">
        <is>
          <t>5%</t>
        </is>
      </c>
      <c r="I70" s="42" t="n">
        <v>300</v>
      </c>
      <c r="J70" s="42" t="n">
        <v>300</v>
      </c>
      <c r="K70" s="42" t="n">
        <v>15</v>
      </c>
      <c r="L70" s="42" t="n">
        <v>7.5</v>
      </c>
      <c r="M70" s="42" t="n">
        <v>7.5</v>
      </c>
      <c r="N70" s="42" t="n">
        <v>15</v>
      </c>
      <c r="O70" s="42" t="n">
        <v>0</v>
      </c>
      <c r="P70" s="42" t="n">
        <v>0.3</v>
      </c>
      <c r="Q70" s="42" t="n">
        <v>210.47</v>
      </c>
      <c r="R70" s="43" t="inlineStr"/>
    </row>
    <row r="71">
      <c r="A71" s="40" t="inlineStr">
        <is>
          <t>27 – 30 Sep</t>
        </is>
      </c>
      <c r="B71" s="40" t="inlineStr">
        <is>
          <t>249501947108850</t>
        </is>
      </c>
      <c r="C71" s="41" t="n">
        <v>46292.98318287037</v>
      </c>
      <c r="D71" s="40" t="inlineStr">
        <is>
          <t>delivered</t>
        </is>
      </c>
      <c r="E71" s="40" t="n"/>
      <c r="F71" s="40" t="inlineStr">
        <is>
          <t>24GJOPA4594Q1ZE</t>
        </is>
      </c>
      <c r="G71" s="40" t="inlineStr">
        <is>
          <t>Gujarat (24)</t>
        </is>
      </c>
      <c r="H71" s="40" t="inlineStr">
        <is>
          <t>5%</t>
        </is>
      </c>
      <c r="I71" s="42" t="n">
        <v>630</v>
      </c>
      <c r="J71" s="42" t="n">
        <v>630</v>
      </c>
      <c r="K71" s="42" t="n">
        <v>31.5</v>
      </c>
      <c r="L71" s="42" t="n">
        <v>15.75</v>
      </c>
      <c r="M71" s="42" t="n">
        <v>15.75</v>
      </c>
      <c r="N71" s="42" t="n">
        <v>31.5</v>
      </c>
      <c r="O71" s="42" t="n">
        <v>0</v>
      </c>
      <c r="P71" s="42" t="n">
        <v>0.63</v>
      </c>
      <c r="Q71" s="42" t="n">
        <v>442.03</v>
      </c>
      <c r="R71" s="43" t="inlineStr"/>
    </row>
    <row r="72">
      <c r="A72" s="40" t="inlineStr">
        <is>
          <t>27 – 30 Sep</t>
        </is>
      </c>
      <c r="B72" s="40" t="inlineStr">
        <is>
          <t>249561171197372</t>
        </is>
      </c>
      <c r="C72" s="41" t="n">
        <v>46293.66864583334</v>
      </c>
      <c r="D72" s="40" t="inlineStr">
        <is>
          <t>delivered</t>
        </is>
      </c>
      <c r="E72" s="40" t="n"/>
      <c r="F72" s="40" t="inlineStr">
        <is>
          <t>24GJOPA4594Q1ZE</t>
        </is>
      </c>
      <c r="G72" s="40" t="inlineStr">
        <is>
          <t>Gujarat (24)</t>
        </is>
      </c>
      <c r="H72" s="40" t="inlineStr">
        <is>
          <t>5%</t>
        </is>
      </c>
      <c r="I72" s="42" t="n">
        <v>300</v>
      </c>
      <c r="J72" s="42" t="n">
        <v>300</v>
      </c>
      <c r="K72" s="42" t="n">
        <v>15</v>
      </c>
      <c r="L72" s="42" t="n">
        <v>7.5</v>
      </c>
      <c r="M72" s="42" t="n">
        <v>7.5</v>
      </c>
      <c r="N72" s="42" t="n">
        <v>15</v>
      </c>
      <c r="O72" s="42" t="n">
        <v>0</v>
      </c>
      <c r="P72" s="42" t="n">
        <v>0.3</v>
      </c>
      <c r="Q72" s="42" t="n">
        <v>210.47</v>
      </c>
      <c r="R72" s="43" t="inlineStr"/>
    </row>
    <row r="73">
      <c r="A73" s="40" t="inlineStr">
        <is>
          <t>27 – 30 Sep</t>
        </is>
      </c>
      <c r="B73" s="40" t="inlineStr">
        <is>
          <t>249581223133346</t>
        </is>
      </c>
      <c r="C73" s="41" t="n">
        <v>46293.90072916666</v>
      </c>
      <c r="D73" s="40" t="inlineStr">
        <is>
          <t>delivered</t>
        </is>
      </c>
      <c r="E73" s="40" t="n"/>
      <c r="F73" s="40" t="inlineStr">
        <is>
          <t>24GJOPA4594Q1ZE</t>
        </is>
      </c>
      <c r="G73" s="40" t="inlineStr">
        <is>
          <t>Gujarat (24)</t>
        </is>
      </c>
      <c r="H73" s="40" t="inlineStr">
        <is>
          <t>5%</t>
        </is>
      </c>
      <c r="I73" s="42" t="n">
        <v>255</v>
      </c>
      <c r="J73" s="42" t="n">
        <v>255</v>
      </c>
      <c r="K73" s="42" t="n">
        <v>12.76</v>
      </c>
      <c r="L73" s="42" t="n">
        <v>6.38</v>
      </c>
      <c r="M73" s="42" t="n">
        <v>6.37</v>
      </c>
      <c r="N73" s="42" t="n">
        <v>12.75</v>
      </c>
      <c r="O73" s="42" t="n">
        <v>0</v>
      </c>
      <c r="P73" s="42" t="n">
        <v>0.26</v>
      </c>
      <c r="Q73" s="42" t="n">
        <v>178.9</v>
      </c>
      <c r="R73" s="43" t="inlineStr"/>
    </row>
    <row r="74">
      <c r="A74" s="40" t="inlineStr">
        <is>
          <t>27 – 30 Sep</t>
        </is>
      </c>
      <c r="B74" s="40" t="inlineStr">
        <is>
          <t>249582108162043</t>
        </is>
      </c>
      <c r="C74" s="41" t="n">
        <v>46293.91097222222</v>
      </c>
      <c r="D74" s="40" t="inlineStr">
        <is>
          <t>delivered</t>
        </is>
      </c>
      <c r="E74" s="40" t="n"/>
      <c r="F74" s="40" t="inlineStr">
        <is>
          <t>24GJOPA4594Q1ZE</t>
        </is>
      </c>
      <c r="G74" s="40" t="inlineStr">
        <is>
          <t>Gujarat (24)</t>
        </is>
      </c>
      <c r="H74" s="40" t="inlineStr">
        <is>
          <t>5%</t>
        </is>
      </c>
      <c r="I74" s="42" t="n">
        <v>300</v>
      </c>
      <c r="J74" s="42" t="n">
        <v>300</v>
      </c>
      <c r="K74" s="42" t="n">
        <v>15</v>
      </c>
      <c r="L74" s="42" t="n">
        <v>7.5</v>
      </c>
      <c r="M74" s="42" t="n">
        <v>7.5</v>
      </c>
      <c r="N74" s="42" t="n">
        <v>15</v>
      </c>
      <c r="O74" s="42" t="n">
        <v>0</v>
      </c>
      <c r="P74" s="42" t="n">
        <v>0.3</v>
      </c>
      <c r="Q74" s="42" t="n">
        <v>210.47</v>
      </c>
      <c r="R74" s="43" t="inlineStr"/>
    </row>
    <row r="75">
      <c r="A75" s="40" t="inlineStr">
        <is>
          <t>27 – 30 Sep</t>
        </is>
      </c>
      <c r="B75" s="40" t="inlineStr">
        <is>
          <t>249583604161075</t>
        </is>
      </c>
      <c r="C75" s="41" t="n">
        <v>46293.92828703704</v>
      </c>
      <c r="D75" s="40" t="inlineStr">
        <is>
          <t>delivered</t>
        </is>
      </c>
      <c r="E75" s="40" t="n"/>
      <c r="F75" s="40" t="inlineStr">
        <is>
          <t>24GJOPA4594Q1ZE</t>
        </is>
      </c>
      <c r="G75" s="40" t="inlineStr">
        <is>
          <t>Gujarat (24)</t>
        </is>
      </c>
      <c r="H75" s="40" t="inlineStr">
        <is>
          <t>5%</t>
        </is>
      </c>
      <c r="I75" s="42" t="n">
        <v>330</v>
      </c>
      <c r="J75" s="42" t="n">
        <v>330</v>
      </c>
      <c r="K75" s="42" t="n">
        <v>16.5</v>
      </c>
      <c r="L75" s="42" t="n">
        <v>8.25</v>
      </c>
      <c r="M75" s="42" t="n">
        <v>8.25</v>
      </c>
      <c r="N75" s="42" t="n">
        <v>16.5</v>
      </c>
      <c r="O75" s="42" t="n">
        <v>0</v>
      </c>
      <c r="P75" s="42" t="n">
        <v>0.33</v>
      </c>
      <c r="Q75" s="42" t="n">
        <v>231.53</v>
      </c>
      <c r="R75" s="43" t="inlineStr"/>
    </row>
    <row r="76">
      <c r="A76" s="40" t="inlineStr">
        <is>
          <t>27 – 30 Sep</t>
        </is>
      </c>
      <c r="B76" s="40" t="inlineStr">
        <is>
          <t>249584979180649</t>
        </is>
      </c>
      <c r="C76" s="41" t="n">
        <v>46293.94420138889</v>
      </c>
      <c r="D76" s="40" t="inlineStr">
        <is>
          <t>delivered</t>
        </is>
      </c>
      <c r="E76" s="40" t="n"/>
      <c r="F76" s="40" t="inlineStr">
        <is>
          <t>24GJOPA4594Q1ZE</t>
        </is>
      </c>
      <c r="G76" s="40" t="inlineStr">
        <is>
          <t>Gujarat (24)</t>
        </is>
      </c>
      <c r="H76" s="40" t="inlineStr">
        <is>
          <t>5%</t>
        </is>
      </c>
      <c r="I76" s="42" t="n">
        <v>300</v>
      </c>
      <c r="J76" s="42" t="n">
        <v>300</v>
      </c>
      <c r="K76" s="42" t="n">
        <v>15</v>
      </c>
      <c r="L76" s="42" t="n">
        <v>7.5</v>
      </c>
      <c r="M76" s="42" t="n">
        <v>7.5</v>
      </c>
      <c r="N76" s="42" t="n">
        <v>15</v>
      </c>
      <c r="O76" s="42" t="n">
        <v>0</v>
      </c>
      <c r="P76" s="42" t="n">
        <v>0.3</v>
      </c>
      <c r="Q76" s="42" t="n">
        <v>210.47</v>
      </c>
      <c r="R76" s="43" t="inlineStr"/>
    </row>
    <row r="77">
      <c r="A77" s="40" t="inlineStr">
        <is>
          <t>27 – 30 Sep</t>
        </is>
      </c>
      <c r="B77" s="40" t="inlineStr">
        <is>
          <t>249663970142590</t>
        </is>
      </c>
      <c r="C77" s="41" t="n">
        <v>46294.85844907408</v>
      </c>
      <c r="D77" s="40" t="inlineStr">
        <is>
          <t>delivered</t>
        </is>
      </c>
      <c r="E77" s="40" t="n"/>
      <c r="F77" s="40" t="inlineStr">
        <is>
          <t>24GJOPA4594Q1ZE</t>
        </is>
      </c>
      <c r="G77" s="40" t="inlineStr">
        <is>
          <t>Gujarat (24)</t>
        </is>
      </c>
      <c r="H77" s="40" t="inlineStr">
        <is>
          <t>5%</t>
        </is>
      </c>
      <c r="I77" s="42" t="n">
        <v>657.14</v>
      </c>
      <c r="J77" s="42" t="n">
        <v>657.14</v>
      </c>
      <c r="K77" s="42" t="n">
        <v>32.86</v>
      </c>
      <c r="L77" s="42" t="n">
        <v>16.43</v>
      </c>
      <c r="M77" s="42" t="n">
        <v>16.43</v>
      </c>
      <c r="N77" s="42" t="n">
        <v>32.86</v>
      </c>
      <c r="O77" s="42" t="n">
        <v>0</v>
      </c>
      <c r="P77" s="42" t="n">
        <v>0.66</v>
      </c>
      <c r="Q77" s="42" t="n">
        <v>461.07</v>
      </c>
      <c r="R77" s="43" t="inlineStr"/>
    </row>
    <row r="78">
      <c r="A78" s="40" t="inlineStr">
        <is>
          <t>27 – 30 Sep</t>
        </is>
      </c>
      <c r="B78" s="40" t="inlineStr">
        <is>
          <t>249670982145940</t>
        </is>
      </c>
      <c r="C78" s="41" t="n">
        <v>46294.93960648148</v>
      </c>
      <c r="D78" s="40" t="inlineStr">
        <is>
          <t>delivered</t>
        </is>
      </c>
      <c r="E78" s="40" t="n"/>
      <c r="F78" s="40" t="inlineStr">
        <is>
          <t>24GJOPA4594Q1ZE</t>
        </is>
      </c>
      <c r="G78" s="40" t="inlineStr">
        <is>
          <t>Gujarat (24)</t>
        </is>
      </c>
      <c r="H78" s="40" t="inlineStr">
        <is>
          <t>5%</t>
        </is>
      </c>
      <c r="I78" s="42" t="n">
        <v>300</v>
      </c>
      <c r="J78" s="42" t="n">
        <v>300</v>
      </c>
      <c r="K78" s="42" t="n">
        <v>15</v>
      </c>
      <c r="L78" s="42" t="n">
        <v>7.5</v>
      </c>
      <c r="M78" s="42" t="n">
        <v>7.5</v>
      </c>
      <c r="N78" s="42" t="n">
        <v>15</v>
      </c>
      <c r="O78" s="42" t="n">
        <v>0</v>
      </c>
      <c r="P78" s="42" t="n">
        <v>0.3</v>
      </c>
      <c r="Q78" s="42" t="n">
        <v>210.47</v>
      </c>
      <c r="R78" s="43" t="inlineStr"/>
    </row>
    <row r="79">
      <c r="A79" s="40" t="inlineStr">
        <is>
          <t>27 – 30 Sep</t>
        </is>
      </c>
      <c r="B79" s="40" t="inlineStr">
        <is>
          <t>249674348161454</t>
        </is>
      </c>
      <c r="C79" s="41" t="n">
        <v>46294.97856481482</v>
      </c>
      <c r="D79" s="40" t="inlineStr">
        <is>
          <t>delivered</t>
        </is>
      </c>
      <c r="E79" s="40" t="n"/>
      <c r="F79" s="40" t="inlineStr">
        <is>
          <t>24GJOPA4594Q1ZE</t>
        </is>
      </c>
      <c r="G79" s="40" t="inlineStr">
        <is>
          <t>Gujarat (24)</t>
        </is>
      </c>
      <c r="H79" s="40" t="inlineStr">
        <is>
          <t>5%</t>
        </is>
      </c>
      <c r="I79" s="42" t="n">
        <v>720</v>
      </c>
      <c r="J79" s="42" t="n">
        <v>720</v>
      </c>
      <c r="K79" s="42" t="n">
        <v>36</v>
      </c>
      <c r="L79" s="42" t="n">
        <v>18</v>
      </c>
      <c r="M79" s="42" t="n">
        <v>18</v>
      </c>
      <c r="N79" s="42" t="n">
        <v>36</v>
      </c>
      <c r="O79" s="42" t="n">
        <v>0</v>
      </c>
      <c r="P79" s="42" t="n">
        <v>0.72</v>
      </c>
      <c r="Q79" s="42" t="n">
        <v>505.18</v>
      </c>
      <c r="R79" s="43" t="inlineStr"/>
    </row>
    <row r="80">
      <c r="A80" s="17" t="inlineStr">
        <is>
          <t>TOTAL</t>
        </is>
      </c>
      <c r="B80" s="17" t="inlineStr"/>
      <c r="C80" s="17" t="inlineStr"/>
      <c r="D80" s="17" t="inlineStr"/>
      <c r="E80" s="17" t="inlineStr"/>
      <c r="F80" s="17" t="inlineStr"/>
      <c r="G80" s="17" t="inlineStr"/>
      <c r="H80" s="17" t="inlineStr"/>
      <c r="I80" s="18" t="n">
        <v>36567.28</v>
      </c>
      <c r="J80" s="18" t="n">
        <v>36567.28</v>
      </c>
      <c r="K80" s="18" t="n">
        <v>1828.52</v>
      </c>
      <c r="L80" s="18" t="n">
        <v>914.1799999999999</v>
      </c>
      <c r="M80" s="18" t="n">
        <v>914.1799999999999</v>
      </c>
      <c r="N80" s="18" t="n">
        <v>1828.37</v>
      </c>
      <c r="O80" s="18" t="n">
        <v>0.01</v>
      </c>
      <c r="P80" s="18" t="n">
        <v>36.63</v>
      </c>
      <c r="Q80" s="18" t="n">
        <v>25416.9</v>
      </c>
      <c r="R80" s="17" t="inlineStr"/>
    </row>
    <row r="82">
      <c r="A82" s="22" t="inlineStr">
        <is>
          <t>'Taxable value billed' = item total + packaging − restaurant-funded discounts (full value shown to the customer). 'GST-reportable value' is 80% of that for an order cancelled before pickup by the customer/Swiggy (compensation policy), and equal to the billed value otherwise. CGST/SGST is a 50:50 split of the tax on the reportable value. Cancelled-order rows are shaded amber.</t>
        </is>
      </c>
    </row>
  </sheetData>
  <autoFilter ref="A1:R79"/>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28"/>
  <sheetViews>
    <sheetView workbookViewId="0">
      <selection activeCell="A1" sqref="A1"/>
    </sheetView>
  </sheetViews>
  <sheetFormatPr baseColWidth="8" defaultRowHeight="15"/>
  <cols>
    <col width="56" customWidth="1" min="1" max="1"/>
    <col width="62" customWidth="1" min="2" max="2"/>
    <col width="10" customWidth="1" min="3" max="3"/>
    <col width="10" customWidth="1" min="4" max="4"/>
    <col width="12" customWidth="1" min="5" max="5"/>
    <col width="11" customWidth="1" min="6" max="6"/>
  </cols>
  <sheetData>
    <row r="1">
      <c r="A1" s="8" t="inlineStr">
        <is>
          <t>Checks performed and points to confirm before filing</t>
        </is>
      </c>
    </row>
    <row r="2">
      <c r="A2" s="2" t="inlineStr">
        <is>
          <t>Tie-outs between this working and the Swiggy annexures</t>
        </is>
      </c>
    </row>
    <row r="3"/>
    <row r="4" ht="30" customHeight="1">
      <c r="A4" s="6" t="inlineStr">
        <is>
          <t>#</t>
        </is>
      </c>
      <c r="B4" s="6" t="inlineStr">
        <is>
          <t>Check</t>
        </is>
      </c>
      <c r="C4" s="6" t="inlineStr">
        <is>
          <t>Expected</t>
        </is>
      </c>
      <c r="D4" s="6" t="inlineStr">
        <is>
          <t>Actual</t>
        </is>
      </c>
      <c r="E4" s="6" t="inlineStr">
        <is>
          <t>Difference</t>
        </is>
      </c>
      <c r="F4" s="6" t="inlineStr">
        <is>
          <t>Status</t>
        </is>
      </c>
    </row>
    <row r="5">
      <c r="A5" s="40" t="n">
        <v>1</v>
      </c>
      <c r="B5" s="43" t="inlineStr">
        <is>
          <t>Taxable value agrees with the Order Level sheets</t>
        </is>
      </c>
      <c r="C5" s="42" t="n">
        <v>36567.28</v>
      </c>
      <c r="D5" s="42" t="n">
        <v>36567.28</v>
      </c>
      <c r="E5" s="42" t="n">
        <v>0</v>
      </c>
      <c r="F5" s="52" t="inlineStr">
        <is>
          <t>OK</t>
        </is>
      </c>
    </row>
    <row r="6">
      <c r="A6" s="40" t="n">
        <v>2</v>
      </c>
      <c r="B6" s="43" t="inlineStr">
        <is>
          <t>GST discharged = 5% of the compensation-adjusted reportable value</t>
        </is>
      </c>
      <c r="C6" s="42" t="n">
        <v>1828.36</v>
      </c>
      <c r="D6" s="42" t="n">
        <v>1828.37</v>
      </c>
      <c r="E6" s="42" t="n">
        <v>0.01</v>
      </c>
      <c r="F6" s="52" t="inlineStr">
        <is>
          <t>OK</t>
        </is>
      </c>
    </row>
    <row r="7">
      <c r="A7" s="40" t="n">
        <v>3</v>
      </c>
      <c r="B7" s="43" t="inlineStr">
        <is>
          <t>GST billed = GST discharged + GST on the un-compensated 20% + rounding</t>
        </is>
      </c>
      <c r="C7" s="42" t="n">
        <v>1828.52</v>
      </c>
      <c r="D7" s="42" t="n">
        <v>1828.52</v>
      </c>
      <c r="E7" s="42" t="n">
        <v>0</v>
      </c>
      <c r="F7" s="52" t="inlineStr">
        <is>
          <t>OK</t>
        </is>
      </c>
    </row>
    <row r="8">
      <c r="A8" s="40" t="n">
        <v>4</v>
      </c>
      <c r="B8" s="43" t="inlineStr">
        <is>
          <t>Delivered + cancelled taxable value = total taxable value</t>
        </is>
      </c>
      <c r="C8" s="42" t="n">
        <v>36567.28</v>
      </c>
      <c r="D8" s="42" t="n">
        <v>36567.28</v>
      </c>
      <c r="E8" s="42" t="n">
        <v>0</v>
      </c>
      <c r="F8" s="52" t="inlineStr">
        <is>
          <t>OK</t>
        </is>
      </c>
    </row>
    <row r="9">
      <c r="A9" s="40" t="n">
        <v>5</v>
      </c>
      <c r="B9" s="43" t="inlineStr">
        <is>
          <t>GST at 5% of the billed value (memo — tax charged to customers)</t>
        </is>
      </c>
      <c r="C9" s="42" t="n">
        <v>1828.36</v>
      </c>
      <c r="D9" s="42" t="n">
        <v>1828.52</v>
      </c>
      <c r="E9" s="42" t="n">
        <v>0.16</v>
      </c>
      <c r="F9" s="52" t="inlineStr">
        <is>
          <t>OK</t>
        </is>
      </c>
    </row>
    <row r="10">
      <c r="A10" s="40" t="n">
        <v>6</v>
      </c>
      <c r="B10" s="43" t="inlineStr">
        <is>
          <t>CGST + SGST = tax on the reportable value</t>
        </is>
      </c>
      <c r="C10" s="42" t="n">
        <v>1828.36</v>
      </c>
      <c r="D10" s="42" t="n">
        <v>1828.36</v>
      </c>
      <c r="E10" s="42" t="n">
        <v>0</v>
      </c>
      <c r="F10" s="52" t="inlineStr">
        <is>
          <t>OK</t>
        </is>
      </c>
    </row>
    <row r="11">
      <c r="A11" s="40" t="n">
        <v>7</v>
      </c>
      <c r="B11" s="43" t="inlineStr">
        <is>
          <t>Order-wise register CGST + SGST = tax on the reportable value</t>
        </is>
      </c>
      <c r="C11" s="42" t="n">
        <v>1828.36</v>
      </c>
      <c r="D11" s="42" t="n">
        <v>1828.37</v>
      </c>
      <c r="E11" s="42" t="n">
        <v>0.01</v>
      </c>
      <c r="F11" s="52" t="inlineStr">
        <is>
          <t>OK</t>
        </is>
      </c>
    </row>
    <row r="12">
      <c r="A12" s="40" t="n">
        <v>8</v>
      </c>
      <c r="B12" s="43" t="inlineStr">
        <is>
          <t>GST discharged by Swiggy = payout breakup line 18</t>
        </is>
      </c>
      <c r="C12" s="42" t="n">
        <v>1828.37</v>
      </c>
      <c r="D12" s="42" t="n">
        <v>1828.37</v>
      </c>
      <c r="E12" s="42" t="n">
        <v>0</v>
      </c>
      <c r="F12" s="52" t="inlineStr">
        <is>
          <t>OK</t>
        </is>
      </c>
    </row>
    <row r="13">
      <c r="A13" s="40" t="n">
        <v>9</v>
      </c>
      <c r="B13" s="43" t="inlineStr">
        <is>
          <t>Order count agrees with the annexures</t>
        </is>
      </c>
      <c r="C13" s="42" t="n">
        <v>78</v>
      </c>
      <c r="D13" s="42" t="n">
        <v>78</v>
      </c>
      <c r="E13" s="42" t="n">
        <v>0</v>
      </c>
      <c r="F13" s="52" t="inlineStr">
        <is>
          <t>OK</t>
        </is>
      </c>
    </row>
    <row r="14">
      <c r="A14" s="40" t="n">
        <v>10</v>
      </c>
      <c r="B14" s="43" t="inlineStr">
        <is>
          <t>TCS under Section 52 is nil</t>
        </is>
      </c>
      <c r="C14" s="42" t="n">
        <v>0</v>
      </c>
      <c r="D14" s="42" t="n">
        <v>0</v>
      </c>
      <c r="E14" s="42" t="n">
        <v>0</v>
      </c>
      <c r="F14" s="52" t="inlineStr">
        <is>
          <t>OK</t>
        </is>
      </c>
    </row>
    <row r="15">
      <c r="A15" s="40" t="n">
        <v>11</v>
      </c>
      <c r="B15" s="43" t="inlineStr">
        <is>
          <t>TDS under Section 194-O = 0.1% of the reportable value</t>
        </is>
      </c>
      <c r="C15" s="42" t="n">
        <v>36.57</v>
      </c>
      <c r="D15" s="42" t="n">
        <v>36.63</v>
      </c>
      <c r="E15" s="42" t="n">
        <v>0.06</v>
      </c>
      <c r="F15" s="52" t="inlineStr">
        <is>
          <t>OK</t>
        </is>
      </c>
    </row>
    <row r="16">
      <c r="A16" s="40" t="n">
        <v>12</v>
      </c>
      <c r="B16" s="43" t="inlineStr">
        <is>
          <t>Net payouts agree with the bank settlements</t>
        </is>
      </c>
      <c r="C16" s="42" t="n">
        <v>25416.9</v>
      </c>
      <c r="D16" s="42" t="n">
        <v>25416.9</v>
      </c>
      <c r="E16" s="42" t="n">
        <v>0</v>
      </c>
      <c r="F16" s="52" t="inlineStr">
        <is>
          <t>OK</t>
        </is>
      </c>
    </row>
    <row r="17">
      <c r="A17" s="40" t="n">
        <v>13</v>
      </c>
      <c r="B17" s="43" t="inlineStr">
        <is>
          <t>GST billed vs GST discharged — explained by the cancellation policy + rounding</t>
        </is>
      </c>
      <c r="C17" s="42" t="n">
        <v>0</v>
      </c>
      <c r="D17" s="42" t="n">
        <v>0.15</v>
      </c>
      <c r="E17" s="42" t="n">
        <v>0.15</v>
      </c>
      <c r="F17" s="53" t="inlineStr">
        <is>
          <t>EXPLAINED</t>
        </is>
      </c>
    </row>
    <row r="18"/>
    <row r="19">
      <c r="A19" s="5" t="inlineStr">
        <is>
          <t>Points to confirm with your CA before filing</t>
        </is>
      </c>
    </row>
    <row r="20" ht="30" customHeight="1">
      <c r="B20" s="4" t="inlineStr">
        <is>
          <t>•  Reporting view for Section 9(5) supplies: the working shows the full supply value in GSTR-1 Table 14 and GSTR-3B Table 3.1.1(ii) with nil tax payable by you. Confirm this is the treatment you file.</t>
        </is>
      </c>
    </row>
    <row r="21" ht="30" customHeight="1">
      <c r="B21" s="4" t="inlineStr">
        <is>
          <t>•  The annexures do not contain your direct (dine-in / takeaway / own-delivery) sales — add them from your POS to complete GSTR-1 Table 7 and GSTR-3B Table 3.1(a).</t>
        </is>
      </c>
    </row>
    <row r="22" ht="30" customHeight="1">
      <c r="B22" s="4" t="inlineStr">
        <is>
          <t>•  GST billed to customers exceeded the GST discharged by ₹0.15. This is fully explained: ₹0.00 is the cancellation-compensation policy (order n/a was cancelled before pickup and compensated at 80%, so tax was discharged on ₹0.00 rather than ₹0.00) and ₹0.15 is paise rounding. No credit note is required — confirm that the customer's invoice for that order is also adjusted, or keep this working as the explanation for the difference.</t>
        </is>
      </c>
    </row>
    <row r="23" ht="30" customHeight="1">
      <c r="B23" s="4" t="inlineStr">
        <is>
          <t>•  ITC of ₹1,658.72 charged by Swiggy on its service fee is not claimable at the 5% restaurant rate; keep the annexures as evidence if the department asks why no ITC was taken.</t>
        </is>
      </c>
    </row>
    <row r="24" ht="30" customHeight="1">
      <c r="B24" s="4" t="inlineStr">
        <is>
          <t>•  TDS of ₹36.63 under Section 194-O must be reconciled with Form 26AS / AIS and claimed in the income-tax return.</t>
        </is>
      </c>
    </row>
    <row r="25" ht="30" customHeight="1">
      <c r="B25" s="4" t="inlineStr">
        <is>
          <t>•  Cess or state-specific levies on food delivery, if any, are not reflected in these annexures.</t>
        </is>
      </c>
    </row>
    <row r="26" ht="30" customHeight="1">
      <c r="B26" s="4" t="inlineStr">
        <is>
          <t>•  This period also includes 1 Toing order routed through a second platform in the same annexure. The tax on those orders is also retained and deposited by the operator — confirm with your CA that each channel is reported operator-wise in GSTR-1 Table 14 against the right operator GSTIN.</t>
        </is>
      </c>
    </row>
    <row r="28">
      <c r="A28" s="22" t="inlineStr">
        <is>
          <t>Source: Swiggy weekly payout annexures · Prepared 05 October 2026</t>
        </is>
      </c>
    </row>
  </sheetData>
  <mergeCells count="7">
    <mergeCell ref="B21:F21"/>
    <mergeCell ref="B24:F24"/>
    <mergeCell ref="B20:F20"/>
    <mergeCell ref="B25:F25"/>
    <mergeCell ref="B23:F23"/>
    <mergeCell ref="B22:F22"/>
    <mergeCell ref="B26:F26"/>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2026-10-05T11:51:56Z</dcterms:created>
  <dcterms:modified xsi:type="dcterms:W3CDTF">2026-10-05T11:51:57Z</dcterms:modified>
</cp:coreProperties>
</file>
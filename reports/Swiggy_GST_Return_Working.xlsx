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ST Snapshot" sheetId="2" state="visible" r:id="rId2"/>
    <sheet name="Period-wise GST" sheetId="3" state="visible" r:id="rId3"/>
    <sheet name="GSTR-1 Working" sheetId="4" state="visible" r:id="rId4"/>
    <sheet name="GSTR-3B Working" sheetId="5" state="visible" r:id="rId5"/>
    <sheet name="Sec 9(5) Reconciliation" sheetId="6" state="visible" r:id="rId6"/>
    <sheet name="TCS &amp; TDS" sheetId="7" state="visible" r:id="rId7"/>
    <sheet name="Order-wise GST Register" sheetId="8" state="visible" r:id="rId8"/>
    <sheet name="Checks &amp; Caveats" sheetId="9" state="visible" r:id="rId9"/>
  </sheets>
  <definedNames>
    <definedName name="_xlnm._FilterDatabase" localSheetId="7" hidden="1">'Order-wise GST Register'!$A$1:$R$96</definedName>
  </definedNames>
  <calcPr calcId="124519" fullCalcOnLoad="1"/>
</workbook>
</file>

<file path=xl/styles.xml><?xml version="1.0" encoding="utf-8"?>
<styleSheet xmlns="http://schemas.openxmlformats.org/spreadsheetml/2006/main">
  <numFmts count="3">
    <numFmt numFmtId="164" formatCode="₹#,##0.00;[Red]-₹#,##0.00"/>
    <numFmt numFmtId="165" formatCode="yyyy-mm-dd h:mm:ss"/>
    <numFmt numFmtId="166" formatCode="dd-mmm-yyyy hh:mm"/>
  </numFmts>
  <fonts count="11">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b val="1"/>
      <color rgb="001F3864"/>
      <sz val="16"/>
    </font>
    <font>
      <name val="Calibri"/>
      <i val="1"/>
      <color rgb="00808080"/>
      <sz val="9"/>
    </font>
    <font>
      <b val="1"/>
      <color rgb="001E6B33"/>
    </font>
    <font>
      <b val="1"/>
      <color rgb="001F3864"/>
    </font>
  </fonts>
  <fills count="8">
    <fill>
      <patternFill/>
    </fill>
    <fill>
      <patternFill patternType="gray125"/>
    </fill>
    <fill>
      <patternFill patternType="solid">
        <fgColor rgb="002E5C8A"/>
      </patternFill>
    </fill>
    <fill>
      <patternFill patternType="solid">
        <fgColor rgb="00DDEBF7"/>
      </patternFill>
    </fill>
    <fill>
      <patternFill patternType="solid">
        <fgColor rgb="00E2EFDA"/>
      </patternFill>
    </fill>
    <fill>
      <patternFill patternType="solid">
        <fgColor rgb="00DCE6F1"/>
      </patternFill>
    </fill>
    <fill>
      <patternFill patternType="solid">
        <fgColor rgb="00F2F7FB"/>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0" pivotButton="0" quotePrefix="0" xfId="0"/>
    <xf numFmtId="0" fontId="7" fillId="0" borderId="0" pivotButton="0" quotePrefix="0" xfId="0"/>
    <xf numFmtId="0" fontId="3" fillId="0" borderId="1" pivotButton="0" quotePrefix="0" xfId="0"/>
    <xf numFmtId="164" fontId="3" fillId="0" borderId="1" pivotButton="0" quotePrefix="0" xfId="0"/>
    <xf numFmtId="0" fontId="4" fillId="0" borderId="1" applyAlignment="1" pivotButton="0" quotePrefix="0" xfId="0">
      <alignment vertical="top" wrapText="1"/>
    </xf>
    <xf numFmtId="0" fontId="4" fillId="0" borderId="1" pivotButton="0" quotePrefix="0" xfId="0"/>
    <xf numFmtId="164" fontId="4" fillId="0" borderId="1" pivotButton="0" quotePrefix="0" xfId="0"/>
    <xf numFmtId="0" fontId="4" fillId="3" borderId="1" pivotButton="0" quotePrefix="0" xfId="0"/>
    <xf numFmtId="164" fontId="4" fillId="3" borderId="1" pivotButton="0" quotePrefix="0" xfId="0"/>
    <xf numFmtId="0" fontId="4" fillId="3" borderId="1" applyAlignment="1" pivotButton="0" quotePrefix="0" xfId="0">
      <alignment vertical="top" wrapText="1"/>
    </xf>
    <xf numFmtId="0" fontId="3" fillId="4" borderId="1" pivotButton="0" quotePrefix="0" xfId="0"/>
    <xf numFmtId="164" fontId="3" fillId="4" borderId="1" pivotButton="0" quotePrefix="0" xfId="0"/>
    <xf numFmtId="0" fontId="4" fillId="4" borderId="1" applyAlignment="1" pivotButton="0" quotePrefix="0" xfId="0">
      <alignment vertical="top" wrapText="1"/>
    </xf>
    <xf numFmtId="0" fontId="4" fillId="5" borderId="1" pivotButton="0" quotePrefix="0" xfId="0"/>
    <xf numFmtId="0" fontId="4" fillId="5" borderId="1" applyAlignment="1" pivotButton="0" quotePrefix="0" xfId="0">
      <alignment vertical="top" wrapText="1"/>
    </xf>
    <xf numFmtId="0" fontId="8" fillId="0" borderId="0" pivotButton="0" quotePrefix="0" xfId="0"/>
    <xf numFmtId="3" fontId="4" fillId="0" borderId="1" pivotButton="0" quotePrefix="0" xfId="0"/>
    <xf numFmtId="0" fontId="4" fillId="6" borderId="1" pivotButton="0" quotePrefix="0" xfId="0"/>
    <xf numFmtId="3" fontId="4" fillId="6" borderId="1" pivotButton="0" quotePrefix="0" xfId="0"/>
    <xf numFmtId="164" fontId="4" fillId="6" borderId="1" pivotButton="0" quotePrefix="0" xfId="0"/>
    <xf numFmtId="3" fontId="3" fillId="4" borderId="1" pivotButton="0" quotePrefix="0" xfId="0"/>
    <xf numFmtId="164" fontId="4" fillId="0" borderId="1" applyAlignment="1" pivotButton="0" quotePrefix="0" xfId="0">
      <alignment vertical="top" wrapText="1"/>
    </xf>
    <xf numFmtId="0" fontId="0" fillId="0" borderId="1" pivotButton="0" quotePrefix="0" xfId="0"/>
    <xf numFmtId="0" fontId="0" fillId="4" borderId="1" pivotButton="0" quotePrefix="0" xfId="0"/>
    <xf numFmtId="164" fontId="4" fillId="7"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0" fontId="4" fillId="7" borderId="1" pivotButton="0" quotePrefix="0" xfId="0"/>
    <xf numFmtId="164" fontId="4" fillId="7" borderId="1" pivotButton="0" quotePrefix="0" xfId="0"/>
    <xf numFmtId="0" fontId="3" fillId="4" borderId="1" applyAlignment="1" pivotButton="0" quotePrefix="0" xfId="0">
      <alignment vertical="top" wrapText="1"/>
    </xf>
    <xf numFmtId="164" fontId="3" fillId="4" borderId="1" applyAlignment="1" pivotButton="0" quotePrefix="0" xfId="0">
      <alignment vertical="top" wrapText="1"/>
    </xf>
    <xf numFmtId="10" fontId="4" fillId="0" borderId="1" pivotButton="0" quotePrefix="0" xfId="0"/>
    <xf numFmtId="10" fontId="3" fillId="4" borderId="1" pivotButton="0" quotePrefix="0" xfId="0"/>
    <xf numFmtId="0" fontId="4" fillId="0" borderId="1" applyAlignment="1" pivotButton="0" quotePrefix="0" xfId="0">
      <alignment vertical="center"/>
    </xf>
    <xf numFmtId="166" fontId="4" fillId="0" borderId="1" applyAlignment="1" pivotButton="0" quotePrefix="0" xfId="0">
      <alignment vertical="center"/>
    </xf>
    <xf numFmtId="164" fontId="4" fillId="0" borderId="1" applyAlignment="1" pivotButton="0" quotePrefix="0" xfId="0">
      <alignment vertical="center"/>
    </xf>
    <xf numFmtId="0" fontId="4" fillId="0" borderId="1" applyAlignment="1" pivotButton="0" quotePrefix="0" xfId="0">
      <alignment vertical="center" wrapText="1"/>
    </xf>
    <xf numFmtId="0" fontId="4" fillId="7" borderId="1" applyAlignment="1" pivotButton="0" quotePrefix="0" xfId="0">
      <alignment vertical="center"/>
    </xf>
    <xf numFmtId="166" fontId="4" fillId="7" borderId="1" applyAlignment="1" pivotButton="0" quotePrefix="0" xfId="0">
      <alignment vertical="center"/>
    </xf>
    <xf numFmtId="164" fontId="4" fillId="7" borderId="1" applyAlignment="1" pivotButton="0" quotePrefix="0" xfId="0">
      <alignment vertical="center"/>
    </xf>
    <xf numFmtId="0" fontId="4" fillId="7" borderId="1" applyAlignment="1" pivotButton="0" quotePrefix="0" xfId="0">
      <alignment vertical="center" wrapText="1"/>
    </xf>
    <xf numFmtId="0" fontId="4" fillId="6" borderId="1" applyAlignment="1" pivotButton="0" quotePrefix="0" xfId="0">
      <alignment vertical="center"/>
    </xf>
    <xf numFmtId="166" fontId="4" fillId="6" borderId="1" applyAlignment="1" pivotButton="0" quotePrefix="0" xfId="0">
      <alignment vertical="center"/>
    </xf>
    <xf numFmtId="164" fontId="4" fillId="6" borderId="1" applyAlignment="1" pivotButton="0" quotePrefix="0" xfId="0">
      <alignment vertical="center"/>
    </xf>
    <xf numFmtId="0" fontId="4" fillId="6" borderId="1" applyAlignment="1" pivotButton="0" quotePrefix="0" xfId="0">
      <alignment vertical="center" wrapText="1"/>
    </xf>
    <xf numFmtId="0" fontId="9" fillId="4" borderId="1" applyAlignment="1" pivotButton="0" quotePrefix="0" xfId="0">
      <alignment horizontal="center"/>
    </xf>
    <xf numFmtId="0" fontId="1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3"/>
  <sheetViews>
    <sheetView showGridLines="0" workbookViewId="0">
      <selection activeCell="A1" sqref="A1"/>
    </sheetView>
  </sheetViews>
  <sheetFormatPr baseColWidth="8" defaultRowHeight="15"/>
  <cols>
    <col width="26" customWidth="1" min="1" max="1"/>
    <col width="26" customWidth="1" min="2" max="2"/>
    <col width="110" customWidth="1" min="3" max="3"/>
  </cols>
  <sheetData>
    <row r="2">
      <c r="B2" s="1" t="inlineStr">
        <is>
          <t xml:space="preserve">GST Return Filing Working — September 2026 </t>
        </is>
      </c>
    </row>
    <row r="3">
      <c r="B3" s="2" t="inlineStr">
        <is>
          <t>Prepared from the Swiggy weekly payout annexures · 95.0 orders · 5 payouts</t>
        </is>
      </c>
    </row>
    <row r="5" ht="28" customHeight="1">
      <c r="B5" s="3" t="inlineStr">
        <is>
          <t>Legal name / outlet</t>
        </is>
      </c>
      <c r="C5" s="4" t="inlineStr">
        <is>
          <t>Cheesecake Mills — Vesu, Surat</t>
        </is>
      </c>
    </row>
    <row r="6" ht="28" customHeight="1">
      <c r="B6" s="3" t="inlineStr">
        <is>
          <t>GSTIN</t>
        </is>
      </c>
      <c r="C6" s="4" t="inlineStr">
        <is>
          <t>24AAQFC3084Q1ZT</t>
        </is>
      </c>
    </row>
    <row r="7" ht="28" customHeight="1">
      <c r="B7" s="3" t="inlineStr">
        <is>
          <t>Swiggy Restaurant ID</t>
        </is>
      </c>
      <c r="C7" s="4" t="inlineStr">
        <is>
          <t>544662</t>
        </is>
      </c>
    </row>
    <row r="8" ht="28" customHeight="1">
      <c r="B8" s="3" t="inlineStr">
        <is>
          <t>Return period</t>
        </is>
      </c>
      <c r="C8" s="4" t="inlineStr">
        <is>
          <t>September 2026</t>
        </is>
      </c>
    </row>
    <row r="9" ht="28" customHeight="1">
      <c r="B9" s="3" t="inlineStr">
        <is>
          <t>Nature of supply</t>
        </is>
      </c>
      <c r="C9" s="4" t="inlineStr">
        <is>
          <t>Restaurant service other than at specified premises — SAC 996331</t>
        </is>
      </c>
    </row>
    <row r="10" ht="28" customHeight="1">
      <c r="B10" s="3" t="inlineStr">
        <is>
          <t>Rate of tax</t>
        </is>
      </c>
      <c r="C10" s="4" t="inlineStr">
        <is>
          <t>5% (CGST 2.5% + SGST 2.5%), intra-state — place of supply Gujarat</t>
        </is>
      </c>
    </row>
    <row r="11" ht="28" customHeight="1">
      <c r="B11" s="3" t="inlineStr">
        <is>
          <t>Supplier for GST purposes</t>
        </is>
      </c>
      <c r="C11" s="4" t="inlineStr">
        <is>
          <t>Swiggy (e-commerce operator) is the deemed supplier under Section 9(5) of the CGST Act, 2017</t>
        </is>
      </c>
    </row>
    <row r="12" ht="28" customHeight="1">
      <c r="B12" s="3" t="inlineStr">
        <is>
          <t>Tax discharging mechanism</t>
        </is>
      </c>
      <c r="C12" s="4" t="inlineStr">
        <is>
          <t>Swiggy retains the 5% GST from each order payout and deposits it with the Government</t>
        </is>
      </c>
    </row>
    <row r="13" ht="28" customHeight="1">
      <c r="B13" s="3" t="inlineStr">
        <is>
          <t>TCS under Section 52</t>
        </is>
      </c>
      <c r="C13" s="4" t="inlineStr">
        <is>
          <t>Not applicable — Circular 167/23/2021-GST; no TCS was deducted in any cycle (confirmed by the annexures)</t>
        </is>
      </c>
    </row>
    <row r="14" ht="28" customHeight="1">
      <c r="B14" s="3" t="inlineStr">
        <is>
          <t>Input tax credit</t>
        </is>
      </c>
      <c r="C14" s="4" t="inlineStr">
        <is>
          <t>Not available — restaurant service at 5% is a no-ITC rate</t>
        </is>
      </c>
    </row>
    <row r="15" ht="28" customHeight="1">
      <c r="B15" s="3" t="inlineStr">
        <is>
          <t>Income-tax TDS</t>
        </is>
      </c>
      <c r="C15" s="4" t="inlineStr">
        <is>
          <t>Section 194-O TDS of ₹46.14 was deducted by Swiggy during the month — claim the credit in Form 26AS / AIS</t>
        </is>
      </c>
    </row>
    <row r="17">
      <c r="B17" s="5" t="inlineStr">
        <is>
          <t>How to use this workbook</t>
        </is>
      </c>
    </row>
    <row r="18" ht="30" customHeight="1">
      <c r="A18" s="6" t="inlineStr">
        <is>
          <t>Sheet</t>
        </is>
      </c>
      <c r="B18" s="6" t="inlineStr">
        <is>
          <t>What it contains</t>
        </is>
      </c>
    </row>
    <row r="19">
      <c r="A19" s="3" t="inlineStr">
        <is>
          <t>GST Snapshot</t>
        </is>
      </c>
      <c r="B19" s="7" t="inlineStr">
        <is>
          <t>The single-page position for the month — billed value, the cancellation adjustment, tax, tax discharged by Swiggy and memo items.</t>
        </is>
      </c>
    </row>
    <row r="20">
      <c r="A20" s="3" t="inlineStr">
        <is>
          <t>Period-wise GST</t>
        </is>
      </c>
      <c r="B20" s="7" t="inlineStr">
        <is>
          <t>The same numbers split by payout cycle, so each annexure can be traced to the return.</t>
        </is>
      </c>
    </row>
    <row r="21">
      <c r="A21" s="3" t="inlineStr">
        <is>
          <t>GSTR-1 Working</t>
        </is>
      </c>
      <c r="B21" s="7" t="inlineStr">
        <is>
          <t>Table 14 / B2CS working for the month with the rate-wise break-up.</t>
        </is>
      </c>
    </row>
    <row r="22">
      <c r="A22" s="3" t="inlineStr">
        <is>
          <t>GSTR-3B Working</t>
        </is>
      </c>
      <c r="B22" s="7" t="inlineStr">
        <is>
          <t>Table 3.1.1(ii) working — taxable value reportable by you, with nil tax payable.</t>
        </is>
      </c>
    </row>
    <row r="23">
      <c r="A23" s="3" t="inlineStr">
        <is>
          <t>Sec 9(5) Reconciliation</t>
        </is>
      </c>
      <c r="B23" s="7" t="inlineStr">
        <is>
          <t>GST collected from customers vs GST actually retained and deposited by Swiggy, with exceptions.</t>
        </is>
      </c>
    </row>
    <row r="24">
      <c r="A24" s="3" t="inlineStr">
        <is>
          <t>TCS &amp; TDS</t>
        </is>
      </c>
      <c r="B24" s="7" t="inlineStr">
        <is>
          <t>Why TCS is nil and the Section 194-O TDS reconciliation for the income-tax credit.</t>
        </is>
      </c>
    </row>
    <row r="25">
      <c r="A25" s="3" t="inlineStr">
        <is>
          <t>Order-wise GST Register</t>
        </is>
      </c>
      <c r="B25" s="7" t="inlineStr">
        <is>
          <t>All 95.0 orders with taxable value, CGST/SGST split and the tax discharged on each.</t>
        </is>
      </c>
    </row>
    <row r="26">
      <c r="A26" s="3" t="inlineStr">
        <is>
          <t>Checks &amp; Caveats</t>
        </is>
      </c>
      <c r="B26" s="7" t="inlineStr">
        <is>
          <t>Tie-outs performed and the points to confirm with your CA before filing.</t>
        </is>
      </c>
    </row>
    <row r="28">
      <c r="A28" s="5" t="inlineStr">
        <is>
          <t>Basis of preparation</t>
        </is>
      </c>
    </row>
    <row r="29" ht="30" customHeight="1">
      <c r="A29" s="4" t="inlineStr">
        <is>
          <t>•  Every figure is taken from the Swiggy annexures for the five payout cycles covering 01 Sep 2026 – 30 Sep 2026, so the whole month is represented by one GST return period.</t>
        </is>
      </c>
    </row>
    <row r="30" ht="30" customHeight="1">
      <c r="A30" s="4" t="inlineStr">
        <is>
          <t>•  Taxable value = item total + packaging charges − restaurant-funded discounts. This is the value billed to the customer.</t>
        </is>
      </c>
    </row>
    <row r="31" ht="30" customHeight="1">
      <c r="A31" s="4" t="inlineStr">
        <is>
          <t>•  Where an order is cancelled before pickup and the cancellation is not on the restaurant, Swiggy compensates the restaurant at 80% of the order value; GST u/s 9(5) and TDS u/s 194-O are then computed on that 80% value, not on the full billed value. September 2026 has one such order (247576408124202), which reduces the GST-reportable value by ₹118.00 and fully explains the difference between the GST billed to customers and the GST discharged by Swiggy.</t>
        </is>
      </c>
    </row>
    <row r="32" ht="30" customHeight="1">
      <c r="A32" s="4" t="inlineStr">
        <is>
          <t>•  Under Section 9(5) the ECO is treated as the supplier for these orders. Two reporting views are therefore shown — 'as per annexure' (the full supply value) and 'restaurant-reported' (nil tax payable by you). The view to be adopted in GSTR-1/GSTR-3B should be confirmed with your CA.</t>
        </is>
      </c>
    </row>
    <row r="33" ht="30" customHeight="1">
      <c r="A33" s="4" t="inlineStr">
        <is>
          <t>•  This workbook is a data preparation aid built from Swiggy's data. It is not tax advice and does not replace professional review before filing.</t>
        </is>
      </c>
    </row>
  </sheetData>
  <mergeCells count="5">
    <mergeCell ref="A33:C33"/>
    <mergeCell ref="A32:C32"/>
    <mergeCell ref="A31:C31"/>
    <mergeCell ref="A30:C30"/>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52" customWidth="1" min="1" max="1"/>
    <col width="18" customWidth="1" min="2" max="2"/>
    <col width="78" customWidth="1" min="3" max="3"/>
  </cols>
  <sheetData>
    <row r="1">
      <c r="A1" s="8" t="inlineStr">
        <is>
          <t>GST snapshot — September 2026</t>
        </is>
      </c>
    </row>
    <row r="2">
      <c r="A2" s="2" t="inlineStr">
        <is>
          <t>Return-period position per the Swiggy annexures</t>
        </is>
      </c>
    </row>
    <row r="4" ht="30" customHeight="1">
      <c r="A4" s="6" t="inlineStr">
        <is>
          <t>Particulars</t>
        </is>
      </c>
      <c r="B4" s="6" t="inlineStr">
        <is>
          <t>Amount (₹)</t>
        </is>
      </c>
      <c r="C4" s="6" t="inlineStr">
        <is>
          <t>Basis / remark</t>
        </is>
      </c>
    </row>
    <row r="5">
      <c r="A5" s="9" t="inlineStr">
        <is>
          <t>A.  Supply value billed to customers (all orders)</t>
        </is>
      </c>
      <c r="B5" s="10" t="n">
        <v>46236.33</v>
      </c>
      <c r="C5" s="11" t="inlineStr">
        <is>
          <t>Item total + packaging − restaurant-funded discounts, for 95 orders</t>
        </is>
      </c>
    </row>
    <row r="6">
      <c r="A6" s="12" t="inlineStr">
        <is>
          <t xml:space="preserve">        Delivered orders</t>
        </is>
      </c>
      <c r="B6" s="13" t="n">
        <v>45646.33</v>
      </c>
      <c r="C6" s="11" t="inlineStr">
        <is>
          <t>All orders marked 'delivered'</t>
        </is>
      </c>
    </row>
    <row r="7">
      <c r="A7" s="12" t="inlineStr">
        <is>
          <t xml:space="preserve">        Cancelled orders (billed value)</t>
        </is>
      </c>
      <c r="B7" s="13" t="n">
        <v>590</v>
      </c>
      <c r="C7" s="11" t="inlineStr">
        <is>
          <t>One order in the 01–05 Sep cycle — 247576408124202, cancelled by Swiggy before pickup (customer had paid ₹619.50)</t>
        </is>
      </c>
    </row>
    <row r="8">
      <c r="A8" s="14" t="inlineStr">
        <is>
          <t xml:space="preserve">    Less: un-compensated 20% of the cancelled order</t>
        </is>
      </c>
      <c r="B8" s="15" t="n">
        <v>-118</v>
      </c>
      <c r="C8" s="16" t="inlineStr">
        <is>
          <t>Swiggy's policy pays the restaurant 80% of the order value as compensation for a pre-pickup cancellation, so GST is discharged on ₹472.00 (80% × ₹590.00), not on ₹590.00 — ₹590.00 × 20% = ₹118.00</t>
        </is>
      </c>
    </row>
    <row r="9">
      <c r="A9" s="9" t="inlineStr">
        <is>
          <t>B.  GST-reportable value (value on which GST was discharged)</t>
        </is>
      </c>
      <c r="B9" s="10" t="n">
        <v>46118.33</v>
      </c>
      <c r="C9" s="11">
        <f> ₹46,236.33 billed − ₹118.00 cancellation adjustment</f>
        <v/>
      </c>
    </row>
    <row r="10">
      <c r="A10" s="17" t="inlineStr">
        <is>
          <t xml:space="preserve">        GST @5% on the reportable value</t>
        </is>
      </c>
      <c r="B10" s="18" t="n">
        <v>2305.92</v>
      </c>
      <c r="C10" s="19" t="inlineStr">
        <is>
          <t>₹2,305.92 — agrees exactly with the amount Swiggy discharged</t>
        </is>
      </c>
    </row>
    <row r="11">
      <c r="A11" s="12" t="inlineStr">
        <is>
          <t xml:space="preserve">        CGST @2.5%</t>
        </is>
      </c>
      <c r="B11" s="13" t="n">
        <v>1152.96</v>
      </c>
      <c r="C11" s="11" t="inlineStr">
        <is>
          <t>Intra-state supply — place of supply Gujarat</t>
        </is>
      </c>
    </row>
    <row r="12">
      <c r="A12" s="12" t="inlineStr">
        <is>
          <t xml:space="preserve">        SGST @2.5%</t>
        </is>
      </c>
      <c r="B12" s="13" t="n">
        <v>1152.96</v>
      </c>
      <c r="C12" s="11" t="inlineStr">
        <is>
          <t>Intra-state supply — place of supply Gujarat</t>
        </is>
      </c>
    </row>
    <row r="13">
      <c r="A13" s="9" t="inlineStr">
        <is>
          <t>C.  GST discharged by Swiggy under Section 9(5)</t>
        </is>
      </c>
      <c r="B13" s="10" t="n">
        <v>2305.92</v>
      </c>
      <c r="C13" s="11" t="inlineStr">
        <is>
          <t>Retained by Swiggy from the payouts and deposited with the Government on your behalf</t>
        </is>
      </c>
    </row>
    <row r="14">
      <c r="A14" s="12" t="inlineStr">
        <is>
          <t xml:space="preserve">        GST collected from customers on the full billed value (memo)</t>
        </is>
      </c>
      <c r="B14" s="13" t="n">
        <v>2311.94</v>
      </c>
      <c r="C14" s="11" t="inlineStr">
        <is>
          <t>Fully accounted for: ₹2,305.92 discharged u/s 9(5) + ₹5.90 GST on the un-compensated 20% (deducted inside the ₹123.90 cancellation charge) + ₹0.12 paise rounding</t>
        </is>
      </c>
    </row>
    <row r="15">
      <c r="A15" s="12" t="inlineStr">
        <is>
          <t xml:space="preserve">        Complaint &amp; cancellation charges deducted (line C)</t>
        </is>
      </c>
      <c r="B15" s="13" t="n">
        <v>123.9</v>
      </c>
      <c r="C15" s="11">
        <f> un-compensated 20% of the cancelled order (₹118.00) + GST @5% on it (₹5.90) — the deduction is GST-inclusive</f>
        <v/>
      </c>
    </row>
    <row r="16">
      <c r="A16" s="12" t="inlineStr">
        <is>
          <t xml:space="preserve">        GST on the un-compensated 20% — not payable</t>
        </is>
      </c>
      <c r="B16" s="13" t="n">
        <v>5.9</v>
      </c>
      <c r="C16" s="11" t="inlineStr">
        <is>
          <t>₹118.00 × 5%; not a supply, so the tax is not payable and comes back through the cancellation deduction</t>
        </is>
      </c>
    </row>
    <row r="18">
      <c r="A18" s="20" t="inlineStr">
        <is>
          <t>Memorandum items</t>
        </is>
      </c>
      <c r="B18" s="20" t="n"/>
      <c r="C18" s="21" t="inlineStr"/>
    </row>
    <row r="19">
      <c r="A19" s="12" t="inlineStr">
        <is>
          <t xml:space="preserve">        GST charged by Swiggy on its own service fee @18%</t>
        </is>
      </c>
      <c r="B19" s="13" t="n">
        <v>2326.64</v>
      </c>
      <c r="C19" s="11" t="inlineStr">
        <is>
          <t>Recovered from you in the payouts; this is Swiggy's output tax. ITC is not available to a 5% restaurant.</t>
        </is>
      </c>
    </row>
    <row r="20">
      <c r="A20" s="12" t="inlineStr">
        <is>
          <t xml:space="preserve">        Swiggy fees (commission + payment collection) excluding GST</t>
        </is>
      </c>
      <c r="B20" s="13" t="n">
        <v>12925.06</v>
      </c>
      <c r="C20" s="11" t="inlineStr">
        <is>
          <t>Swiggy's consideration for the services it provides to you</t>
        </is>
      </c>
    </row>
    <row r="21">
      <c r="A21" s="12" t="inlineStr">
        <is>
          <t xml:space="preserve">        TCS under Section 52</t>
        </is>
      </c>
      <c r="B21" s="13" t="n">
        <v>0</v>
      </c>
      <c r="C21" s="11" t="inlineStr">
        <is>
          <t>Not applicable to Section 9(5) supplies — Circular 167/23/2021-GST</t>
        </is>
      </c>
    </row>
    <row r="22">
      <c r="A22" s="12" t="inlineStr">
        <is>
          <t xml:space="preserve">        TDS under Section 194-O (income tax)</t>
        </is>
      </c>
      <c r="B22" s="13" t="n">
        <v>46.14</v>
      </c>
      <c r="C22" s="11" t="inlineStr">
        <is>
          <t>Deducted at 0.1% of the supply value (on the 80% compensation value for the cancelled order); claim credit in Form 26AS / AIS — not a GST item</t>
        </is>
      </c>
    </row>
    <row r="23">
      <c r="A23" s="12" t="inlineStr">
        <is>
          <t xml:space="preserve">        Gross amount collected from customers</t>
        </is>
      </c>
      <c r="B23" s="13" t="n">
        <v>48548.27</v>
      </c>
      <c r="C23" s="11" t="inlineStr">
        <is>
          <t>Total customer paid across all orders</t>
        </is>
      </c>
    </row>
    <row r="24">
      <c r="A24" s="9" t="inlineStr">
        <is>
          <t xml:space="preserve">        Net payouts credited by Swiggy</t>
        </is>
      </c>
      <c r="B24" s="10" t="n">
        <v>30139.91</v>
      </c>
      <c r="C24" s="11" t="inlineStr">
        <is>
          <t>Settlement after commission, charges, ads, GST and TDS</t>
        </is>
      </c>
    </row>
    <row r="26">
      <c r="A26" s="22" t="inlineStr">
        <is>
          <t>All amounts in ₹. Prepared 05 October 2026 from 5 annexures. Confirm the reporting view with your CA before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4" customWidth="1" min="3" max="3"/>
    <col width="14" customWidth="1" min="4" max="4"/>
    <col width="15" customWidth="1" min="5" max="5"/>
    <col width="15" customWidth="1" min="6" max="6"/>
    <col width="12" customWidth="1" min="7" max="7"/>
    <col width="12" customWidth="1" min="8" max="8"/>
    <col width="16" customWidth="1" min="9" max="9"/>
    <col width="16" customWidth="1" min="10" max="10"/>
    <col width="15" customWidth="1" min="11" max="11"/>
    <col width="10" customWidth="1" min="12" max="12"/>
    <col width="12" customWidth="1" min="13" max="13"/>
    <col width="14" customWidth="1" min="14" max="14"/>
  </cols>
  <sheetData>
    <row r="1" ht="30" customHeight="1">
      <c r="A1" s="6" t="inlineStr">
        <is>
          <t>Payout period</t>
        </is>
      </c>
      <c r="B1" s="6" t="inlineStr">
        <is>
          <t>Order count</t>
        </is>
      </c>
      <c r="C1" s="6" t="inlineStr">
        <is>
          <t>Billed value</t>
        </is>
      </c>
      <c r="D1" s="6" t="inlineStr">
        <is>
          <t>Cancellation adjustment</t>
        </is>
      </c>
      <c r="E1" s="6" t="inlineStr">
        <is>
          <t>GST-reportable value</t>
        </is>
      </c>
      <c r="F1" s="6" t="inlineStr">
        <is>
          <t>GST @5% on reportable value</t>
        </is>
      </c>
      <c r="G1" s="6" t="inlineStr">
        <is>
          <t>CGST @2.5%</t>
        </is>
      </c>
      <c r="H1" s="6" t="inlineStr">
        <is>
          <t>SGST @2.5%</t>
        </is>
      </c>
      <c r="I1" s="6" t="inlineStr">
        <is>
          <t>GST discharged by Swiggy u/s 9(5)</t>
        </is>
      </c>
      <c r="J1" s="6" t="inlineStr">
        <is>
          <t>GST collected on billed value (memo)</t>
        </is>
      </c>
      <c r="K1" s="6" t="inlineStr">
        <is>
          <t>GST on Swiggy fees @18%</t>
        </is>
      </c>
      <c r="L1" s="6" t="inlineStr">
        <is>
          <t>TCS u/s 52</t>
        </is>
      </c>
      <c r="M1" s="6" t="inlineStr">
        <is>
          <t>TDS u/s 194-O</t>
        </is>
      </c>
      <c r="N1" s="6" t="inlineStr">
        <is>
          <t>Net payout</t>
        </is>
      </c>
    </row>
    <row r="2">
      <c r="A2" s="12" t="inlineStr">
        <is>
          <t>01–05 Sep 2026</t>
        </is>
      </c>
      <c r="B2" s="23" t="n">
        <v>19</v>
      </c>
      <c r="C2" s="13" t="n">
        <v>10483</v>
      </c>
      <c r="D2" s="15" t="n">
        <v>-118</v>
      </c>
      <c r="E2" s="13" t="n">
        <v>10365</v>
      </c>
      <c r="F2" s="13" t="n">
        <v>518.25</v>
      </c>
      <c r="G2" s="13" t="n">
        <v>259.12</v>
      </c>
      <c r="H2" s="13" t="n">
        <v>259.13</v>
      </c>
      <c r="I2" s="13" t="n">
        <v>518.25</v>
      </c>
      <c r="J2" s="13" t="n">
        <v>524.2</v>
      </c>
      <c r="K2" s="13" t="n">
        <v>509.38</v>
      </c>
      <c r="L2" s="13" t="n">
        <v>0</v>
      </c>
      <c r="M2" s="13" t="n">
        <v>10.37</v>
      </c>
      <c r="N2" s="13" t="n">
        <v>6845.46</v>
      </c>
    </row>
    <row r="3">
      <c r="A3" s="24" t="inlineStr">
        <is>
          <t>06–12 Sep 2026</t>
        </is>
      </c>
      <c r="B3" s="25" t="n">
        <v>25</v>
      </c>
      <c r="C3" s="26" t="n">
        <v>11445</v>
      </c>
      <c r="D3" s="26" t="n">
        <v>-0</v>
      </c>
      <c r="E3" s="26" t="n">
        <v>11445</v>
      </c>
      <c r="F3" s="26" t="n">
        <v>572.25</v>
      </c>
      <c r="G3" s="26" t="n">
        <v>286.12</v>
      </c>
      <c r="H3" s="26" t="n">
        <v>286.13</v>
      </c>
      <c r="I3" s="26" t="n">
        <v>572.25</v>
      </c>
      <c r="J3" s="26" t="n">
        <v>572.28</v>
      </c>
      <c r="K3" s="26" t="n">
        <v>577.24</v>
      </c>
      <c r="L3" s="26" t="n">
        <v>0</v>
      </c>
      <c r="M3" s="26" t="n">
        <v>11.46</v>
      </c>
      <c r="N3" s="26" t="n">
        <v>7479.09</v>
      </c>
    </row>
    <row r="4">
      <c r="A4" s="12" t="inlineStr">
        <is>
          <t>13–19 Sep 2026</t>
        </is>
      </c>
      <c r="B4" s="23" t="n">
        <v>24</v>
      </c>
      <c r="C4" s="13" t="n">
        <v>12545</v>
      </c>
      <c r="D4" s="13" t="n">
        <v>-0</v>
      </c>
      <c r="E4" s="13" t="n">
        <v>12545</v>
      </c>
      <c r="F4" s="13" t="n">
        <v>627.25</v>
      </c>
      <c r="G4" s="13" t="n">
        <v>313.62</v>
      </c>
      <c r="H4" s="13" t="n">
        <v>313.63</v>
      </c>
      <c r="I4" s="13" t="n">
        <v>627.25</v>
      </c>
      <c r="J4" s="13" t="n">
        <v>627.28</v>
      </c>
      <c r="K4" s="13" t="n">
        <v>661.96</v>
      </c>
      <c r="L4" s="13" t="n">
        <v>0</v>
      </c>
      <c r="M4" s="13" t="n">
        <v>12.54</v>
      </c>
      <c r="N4" s="13" t="n">
        <v>8023.46</v>
      </c>
    </row>
    <row r="5">
      <c r="A5" s="24" t="inlineStr">
        <is>
          <t>20–26 Sep 2026</t>
        </is>
      </c>
      <c r="B5" s="25" t="n">
        <v>10</v>
      </c>
      <c r="C5" s="26" t="n">
        <v>4643.33</v>
      </c>
      <c r="D5" s="26" t="n">
        <v>-0</v>
      </c>
      <c r="E5" s="26" t="n">
        <v>4643.33</v>
      </c>
      <c r="F5" s="26" t="n">
        <v>232.17</v>
      </c>
      <c r="G5" s="26" t="n">
        <v>116.08</v>
      </c>
      <c r="H5" s="26" t="n">
        <v>116.09</v>
      </c>
      <c r="I5" s="26" t="n">
        <v>232.17</v>
      </c>
      <c r="J5" s="26" t="n">
        <v>232.18</v>
      </c>
      <c r="K5" s="26" t="n">
        <v>228.18</v>
      </c>
      <c r="L5" s="26" t="n">
        <v>0</v>
      </c>
      <c r="M5" s="26" t="n">
        <v>4.65</v>
      </c>
      <c r="N5" s="26" t="n">
        <v>2972.66</v>
      </c>
    </row>
    <row r="6">
      <c r="A6" s="12" t="inlineStr">
        <is>
          <t>27–30 Sep 2026</t>
        </is>
      </c>
      <c r="B6" s="23" t="n">
        <v>17</v>
      </c>
      <c r="C6" s="13" t="n">
        <v>7120</v>
      </c>
      <c r="D6" s="13" t="n">
        <v>-0</v>
      </c>
      <c r="E6" s="13" t="n">
        <v>7120</v>
      </c>
      <c r="F6" s="13" t="n">
        <v>356</v>
      </c>
      <c r="G6" s="13" t="n">
        <v>178</v>
      </c>
      <c r="H6" s="13" t="n">
        <v>178</v>
      </c>
      <c r="I6" s="13" t="n">
        <v>356</v>
      </c>
      <c r="J6" s="13" t="n">
        <v>356</v>
      </c>
      <c r="K6" s="13" t="n">
        <v>349.88</v>
      </c>
      <c r="L6" s="13" t="n">
        <v>0</v>
      </c>
      <c r="M6" s="13" t="n">
        <v>7.12</v>
      </c>
      <c r="N6" s="13" t="n">
        <v>4819.24</v>
      </c>
    </row>
    <row r="7">
      <c r="A7" s="17" t="inlineStr">
        <is>
          <t>TOTAL</t>
        </is>
      </c>
      <c r="B7" s="27" t="n">
        <v>95</v>
      </c>
      <c r="C7" s="18" t="n">
        <v>46236.33</v>
      </c>
      <c r="D7" s="18" t="n">
        <v>-118</v>
      </c>
      <c r="E7" s="18" t="n">
        <v>46118.33</v>
      </c>
      <c r="F7" s="18" t="n">
        <v>2305.92</v>
      </c>
      <c r="G7" s="18" t="n">
        <v>1152.96</v>
      </c>
      <c r="H7" s="18" t="n">
        <v>1152.96</v>
      </c>
      <c r="I7" s="18" t="n">
        <v>2305.92</v>
      </c>
      <c r="J7" s="18" t="n">
        <v>2311.94</v>
      </c>
      <c r="K7" s="18" t="n">
        <v>2326.64</v>
      </c>
      <c r="L7" s="18" t="n">
        <v>0</v>
      </c>
      <c r="M7" s="18" t="n">
        <v>46.14</v>
      </c>
      <c r="N7" s="18" t="n">
        <v>30139.91</v>
      </c>
    </row>
    <row r="9">
      <c r="A9" s="22" t="inlineStr">
        <is>
          <t>The whole month of September 2026 falls in one GST return period; the five cycles are payout cycles, not tax periods. 'Cancellation adjustment' is the un-compensated 20% of an order cancelled before pickup — GST is discharged on the 80% compensation value, not on the full billed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8" customWidth="1" min="1" max="1"/>
    <col width="16" customWidth="1" min="2" max="2"/>
    <col width="12" customWidth="1" min="3" max="3"/>
    <col width="12" customWidth="1" min="4" max="4"/>
    <col width="13" customWidth="1" min="5" max="5"/>
    <col width="18" customWidth="1" min="6" max="6"/>
    <col width="13" customWidth="1" min="7" max="7"/>
    <col width="46" customWidth="1" min="8" max="8"/>
  </cols>
  <sheetData>
    <row r="1">
      <c r="A1" s="8" t="inlineStr">
        <is>
          <t>GSTR-1 working — September 2026</t>
        </is>
      </c>
    </row>
    <row r="2">
      <c r="A2" s="2" t="inlineStr">
        <is>
          <t>Rate-wise outward supply working, with the Section 9(5) view shown separately</t>
        </is>
      </c>
    </row>
    <row r="4">
      <c r="A4" s="5" t="inlineStr">
        <is>
          <t>A. Supplies through Swiggy — as per annexures (ECO as deemed supplier)</t>
        </is>
      </c>
    </row>
    <row r="5" ht="30" customHeight="1">
      <c r="A5" s="6" t="inlineStr">
        <is>
          <t>Nature of supply</t>
        </is>
      </c>
      <c r="B5" s="6" t="inlineStr">
        <is>
          <t>Place of supply</t>
        </is>
      </c>
      <c r="C5" s="6" t="inlineStr">
        <is>
          <t>Rate</t>
        </is>
      </c>
      <c r="D5" s="6" t="inlineStr">
        <is>
          <t>Taxable value</t>
        </is>
      </c>
      <c r="E5" s="6" t="inlineStr">
        <is>
          <t>CGST</t>
        </is>
      </c>
      <c r="F5" s="6" t="inlineStr">
        <is>
          <t>SGST</t>
        </is>
      </c>
      <c r="G5" s="6" t="inlineStr">
        <is>
          <t>Total tax</t>
        </is>
      </c>
      <c r="H5" s="6" t="inlineStr">
        <is>
          <t>Reporting reference</t>
        </is>
      </c>
    </row>
    <row r="6" ht="30" customHeight="1">
      <c r="A6" s="11" t="inlineStr">
        <is>
          <t>Restaurant service through e-commerce operator (Swiggy) — Section 9(5)</t>
        </is>
      </c>
      <c r="B6" s="11" t="inlineStr">
        <is>
          <t>Gujarat (24)</t>
        </is>
      </c>
      <c r="C6" s="11" t="inlineStr">
        <is>
          <t>5%</t>
        </is>
      </c>
      <c r="D6" s="28" t="n">
        <v>46118.33</v>
      </c>
      <c r="E6" s="28" t="n">
        <v>1152.96</v>
      </c>
      <c r="F6" s="28" t="n">
        <v>1152.96</v>
      </c>
      <c r="G6" s="28" t="n">
        <v>2305.92</v>
      </c>
      <c r="H6" s="11" t="inlineStr">
        <is>
          <t>GSTR-1 Table 14 (ECO-wise supplies where tax is payable by the ECO) / B2CS</t>
        </is>
      </c>
    </row>
    <row r="7">
      <c r="A7" s="12" t="inlineStr">
        <is>
          <t xml:space="preserve">        Value billed to customers on all orders</t>
        </is>
      </c>
      <c r="B7" s="29" t="n"/>
      <c r="C7" s="29" t="n"/>
      <c r="D7" s="13" t="n">
        <v>46236.33</v>
      </c>
      <c r="E7" s="29" t="n"/>
      <c r="F7" s="29" t="n"/>
      <c r="G7" s="29" t="n"/>
      <c r="H7" s="11" t="inlineStr">
        <is>
          <t>Order Level sheets — full value</t>
        </is>
      </c>
    </row>
    <row r="8">
      <c r="A8" s="12" t="inlineStr">
        <is>
          <t xml:space="preserve">        Less: un-compensated 20% on the pre-pickup cancellation</t>
        </is>
      </c>
      <c r="B8" s="29" t="n"/>
      <c r="C8" s="29" t="n"/>
      <c r="D8" s="13" t="n">
        <v>-118</v>
      </c>
      <c r="E8" s="29" t="n"/>
      <c r="F8" s="29" t="n"/>
      <c r="G8" s="29" t="n"/>
      <c r="H8" s="11" t="inlineStr">
        <is>
          <t>Order 247576408124202: 80% compensation policy (₹590.00 × 20%)</t>
        </is>
      </c>
    </row>
    <row r="9">
      <c r="A9" s="17" t="inlineStr">
        <is>
          <t xml:space="preserve">        Value reportable for the Swiggy supplies</t>
        </is>
      </c>
      <c r="B9" s="30" t="n"/>
      <c r="C9" s="30" t="n"/>
      <c r="D9" s="18" t="n">
        <v>46118.33</v>
      </c>
      <c r="E9" s="30" t="n"/>
      <c r="F9" s="30" t="n"/>
      <c r="G9" s="30" t="n"/>
      <c r="H9" s="19">
        <f> billed value − cancellation adjustment</f>
        <v/>
      </c>
    </row>
    <row r="11">
      <c r="A11" s="5" t="inlineStr">
        <is>
          <t>B. Outward supplies on which you (the restaurant) are the supplier</t>
        </is>
      </c>
    </row>
    <row r="12" ht="30" customHeight="1">
      <c r="A12" s="6" t="inlineStr">
        <is>
          <t>Nature of supply</t>
        </is>
      </c>
      <c r="B12" s="6" t="inlineStr">
        <is>
          <t>Place of supply</t>
        </is>
      </c>
      <c r="C12" s="6" t="inlineStr">
        <is>
          <t>Rate</t>
        </is>
      </c>
      <c r="D12" s="6" t="inlineStr">
        <is>
          <t>Taxable value</t>
        </is>
      </c>
      <c r="E12" s="6" t="inlineStr">
        <is>
          <t>CGST</t>
        </is>
      </c>
      <c r="F12" s="6" t="inlineStr">
        <is>
          <t>SGST</t>
        </is>
      </c>
      <c r="G12" s="6" t="inlineStr">
        <is>
          <t>Total tax</t>
        </is>
      </c>
      <c r="H12" s="6" t="inlineStr">
        <is>
          <t>Reporting reference</t>
        </is>
      </c>
    </row>
    <row r="13" ht="30" customHeight="1">
      <c r="A13" s="11" t="inlineStr">
        <is>
          <t>Dine-in / takeaway / own delivery (not visible in the Swiggy annexures)</t>
        </is>
      </c>
      <c r="B13" s="11" t="inlineStr">
        <is>
          <t>Gujarat (24)</t>
        </is>
      </c>
      <c r="C13" s="11" t="inlineStr">
        <is>
          <t>5%</t>
        </is>
      </c>
      <c r="D13" s="31" t="n">
        <v>0</v>
      </c>
      <c r="E13" s="28" t="n">
        <v>0</v>
      </c>
      <c r="F13" s="28" t="n">
        <v>0</v>
      </c>
      <c r="G13" s="28" t="n">
        <v>0</v>
      </c>
      <c r="H13" s="11" t="inlineStr">
        <is>
          <t>GSTR-1 Table 7 — B2CS. Add your own sales figures; the annexures do not cover them.</t>
        </is>
      </c>
    </row>
    <row r="15">
      <c r="A15" s="5" t="inlineStr">
        <is>
          <t>C. Cycle-wise working of section A</t>
        </is>
      </c>
    </row>
    <row r="16" ht="30" customHeight="1">
      <c r="A16" s="6" t="inlineStr">
        <is>
          <t>Payout period</t>
        </is>
      </c>
      <c r="B16" s="6" t="inlineStr">
        <is>
          <t>Taxable value (reportable)</t>
        </is>
      </c>
      <c r="C16" s="6" t="inlineStr">
        <is>
          <t>CGST</t>
        </is>
      </c>
      <c r="D16" s="6" t="inlineStr">
        <is>
          <t>SGST</t>
        </is>
      </c>
      <c r="E16" s="6" t="inlineStr">
        <is>
          <t>Total tax</t>
        </is>
      </c>
      <c r="F16" s="6" t="inlineStr">
        <is>
          <t>Tax paid by Swiggy u/s 9(5)</t>
        </is>
      </c>
    </row>
    <row r="17">
      <c r="A17" s="12" t="inlineStr">
        <is>
          <t>01–05 Sep 2026</t>
        </is>
      </c>
      <c r="B17" s="13" t="n">
        <v>10365</v>
      </c>
      <c r="C17" s="13" t="n">
        <v>259.12</v>
      </c>
      <c r="D17" s="13" t="n">
        <v>259.13</v>
      </c>
      <c r="E17" s="13" t="n">
        <v>518.25</v>
      </c>
      <c r="F17" s="13" t="n">
        <v>518.25</v>
      </c>
    </row>
    <row r="18">
      <c r="A18" s="12" t="inlineStr">
        <is>
          <t>06–12 Sep 2026</t>
        </is>
      </c>
      <c r="B18" s="13" t="n">
        <v>11445</v>
      </c>
      <c r="C18" s="13" t="n">
        <v>286.12</v>
      </c>
      <c r="D18" s="13" t="n">
        <v>286.13</v>
      </c>
      <c r="E18" s="13" t="n">
        <v>572.25</v>
      </c>
      <c r="F18" s="13" t="n">
        <v>572.25</v>
      </c>
    </row>
    <row r="19">
      <c r="A19" s="12" t="inlineStr">
        <is>
          <t>13–19 Sep 2026</t>
        </is>
      </c>
      <c r="B19" s="13" t="n">
        <v>12545</v>
      </c>
      <c r="C19" s="13" t="n">
        <v>313.62</v>
      </c>
      <c r="D19" s="13" t="n">
        <v>313.63</v>
      </c>
      <c r="E19" s="13" t="n">
        <v>627.25</v>
      </c>
      <c r="F19" s="13" t="n">
        <v>627.25</v>
      </c>
    </row>
    <row r="20">
      <c r="A20" s="12" t="inlineStr">
        <is>
          <t>20–26 Sep 2026</t>
        </is>
      </c>
      <c r="B20" s="13" t="n">
        <v>4643.33</v>
      </c>
      <c r="C20" s="13" t="n">
        <v>116.08</v>
      </c>
      <c r="D20" s="13" t="n">
        <v>116.09</v>
      </c>
      <c r="E20" s="13" t="n">
        <v>232.17</v>
      </c>
      <c r="F20" s="13" t="n">
        <v>232.17</v>
      </c>
    </row>
    <row r="21">
      <c r="A21" s="12" t="inlineStr">
        <is>
          <t>27–30 Sep 2026</t>
        </is>
      </c>
      <c r="B21" s="13" t="n">
        <v>7120</v>
      </c>
      <c r="C21" s="13" t="n">
        <v>178</v>
      </c>
      <c r="D21" s="13" t="n">
        <v>178</v>
      </c>
      <c r="E21" s="13" t="n">
        <v>356</v>
      </c>
      <c r="F21" s="13" t="n">
        <v>356</v>
      </c>
    </row>
    <row r="22">
      <c r="A22" s="17" t="inlineStr">
        <is>
          <t>TOTAL</t>
        </is>
      </c>
      <c r="B22" s="18" t="n">
        <v>46118.33</v>
      </c>
      <c r="C22" s="18" t="n">
        <v>1152.96</v>
      </c>
      <c r="D22" s="18" t="n">
        <v>1152.96</v>
      </c>
      <c r="E22" s="18" t="n">
        <v>2305.92</v>
      </c>
      <c r="F22" s="18" t="n">
        <v>2305.92</v>
      </c>
    </row>
    <row r="24" ht="28" customHeight="1">
      <c r="A24" s="4" t="inlineStr">
        <is>
          <t>•  Taxable value is before tax. GST charged on the customer's bill is the 5% shown; the delivery fee charged by Swiggy is Swiggy's own supply and is not part of your outward supply.</t>
        </is>
      </c>
    </row>
    <row r="25" ht="28" customHeight="1">
      <c r="A25" s="4" t="inlineStr">
        <is>
          <t>•  Under Section 9(5) the ECO is the deemed supplier and pays the tax — the value is still disclosed by you, but no tax is payable by you on it.</t>
        </is>
      </c>
    </row>
    <row r="26" ht="28" customHeight="1">
      <c r="A26" s="4" t="inlineStr">
        <is>
          <t>•  Trade/coupon discounts funded by the restaurant are netted off in the taxable value, consistent with the annexure.</t>
        </is>
      </c>
    </row>
    <row r="27" ht="28" customHeight="1">
      <c r="A27" s="4" t="inlineStr">
        <is>
          <t>•  An order cancelled before pickup (not caused by the restaurant) is compensated at 80% of the order value; GST is discharged on that compensation value, so ₹118.00 of billed value is not reportable for GST. An order cancelled by the restaurant has no supply and no GST.</t>
        </is>
      </c>
    </row>
    <row r="29">
      <c r="A29" s="22" t="inlineStr">
        <is>
          <t>Source: Swiggy weekly payout annexures · Prepared 05 October 2026</t>
        </is>
      </c>
    </row>
  </sheetData>
  <mergeCells count="4">
    <mergeCell ref="A27:H27"/>
    <mergeCell ref="A25:H25"/>
    <mergeCell ref="A26:H26"/>
    <mergeCell ref="A24:H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64" customWidth="1" min="1" max="1"/>
    <col width="70" customWidth="1" min="2" max="2"/>
    <col width="70" customWidth="1" min="3" max="3"/>
    <col width="14" customWidth="1" min="4" max="4"/>
    <col width="14" customWidth="1" min="5" max="5"/>
    <col width="19" customWidth="1" min="6" max="6"/>
  </cols>
  <sheetData>
    <row r="1">
      <c r="A1" s="8" t="inlineStr">
        <is>
          <t>GSTR-3B working — September 2026</t>
        </is>
      </c>
    </row>
    <row r="2">
      <c r="A2" s="2" t="inlineStr">
        <is>
          <t>Table 3.1 and ITC position per the annexures</t>
        </is>
      </c>
    </row>
    <row r="3"/>
    <row r="4" ht="30" customHeight="1">
      <c r="A4" s="6" t="inlineStr">
        <is>
          <t>Table</t>
        </is>
      </c>
      <c r="B4" s="6" t="inlineStr">
        <is>
          <t>Description</t>
        </is>
      </c>
      <c r="C4" s="6" t="inlineStr">
        <is>
          <t>Taxable value</t>
        </is>
      </c>
      <c r="D4" s="6" t="inlineStr">
        <is>
          <t>CGST</t>
        </is>
      </c>
      <c r="E4" s="6" t="inlineStr">
        <is>
          <t>SGST</t>
        </is>
      </c>
      <c r="F4" s="6" t="inlineStr">
        <is>
          <t>Total tax payable</t>
        </is>
      </c>
    </row>
    <row r="5" ht="30" customHeight="1">
      <c r="A5" s="11" t="inlineStr">
        <is>
          <t>3.1(a)</t>
        </is>
      </c>
      <c r="B5" s="11" t="inlineStr">
        <is>
          <t>Outward taxable supplies (other than zero-rated, nil-rated and exempted) — your own direct sales. Add your own figures; not covered by the annexures.</t>
        </is>
      </c>
      <c r="C5" s="28" t="n">
        <v>0</v>
      </c>
      <c r="D5" s="28" t="n">
        <v>0</v>
      </c>
      <c r="E5" s="28" t="n">
        <v>0</v>
      </c>
      <c r="F5" s="28" t="n">
        <v>0</v>
      </c>
    </row>
    <row r="6" ht="30" customHeight="1">
      <c r="A6" s="32" t="inlineStr">
        <is>
          <t>3.1.1(ii)</t>
        </is>
      </c>
      <c r="B6" s="32" t="inlineStr">
        <is>
          <t>Outward taxable supplies made through an e-commerce operator (Swiggy) where the operator is liable to pay tax under Section 9(5)</t>
        </is>
      </c>
      <c r="C6" s="33" t="n">
        <v>46118.33</v>
      </c>
      <c r="D6" s="33" t="n">
        <v>0</v>
      </c>
      <c r="E6" s="33" t="n">
        <v>0</v>
      </c>
      <c r="F6" s="33" t="n">
        <v>0</v>
      </c>
    </row>
    <row r="7" ht="30" customHeight="1">
      <c r="A7" s="11" t="inlineStr">
        <is>
          <t>3.1(c)</t>
        </is>
      </c>
      <c r="B7" s="11" t="inlineStr">
        <is>
          <t>Other outward supplies (nil-rated, exempted) — nil</t>
        </is>
      </c>
      <c r="C7" s="28" t="n">
        <v>0</v>
      </c>
      <c r="D7" s="28" t="n">
        <v>0</v>
      </c>
      <c r="E7" s="28" t="n">
        <v>0</v>
      </c>
      <c r="F7" s="28" t="n">
        <v>0</v>
      </c>
    </row>
    <row r="8"/>
    <row r="9">
      <c r="A9" s="12" t="inlineStr">
        <is>
          <t>Table 3.1.1(ii) value billed to customers</t>
        </is>
      </c>
      <c r="B9" s="13" t="n">
        <v>46236.33</v>
      </c>
      <c r="C9" s="11" t="inlineStr">
        <is>
          <t>Full value of all orders as per the annexures</t>
        </is>
      </c>
    </row>
    <row r="10">
      <c r="A10" s="12" t="inlineStr">
        <is>
          <t>Less: un-compensated 20% of the pre-pickup cancellation</t>
        </is>
      </c>
      <c r="B10" s="13" t="n">
        <v>-118</v>
      </c>
      <c r="C10" s="11" t="inlineStr">
        <is>
          <t>Order 247576408124202 — 80% compensation policy, so GST is discharged on 80% of the order value</t>
        </is>
      </c>
    </row>
    <row r="11">
      <c r="A11" s="17" t="inlineStr">
        <is>
          <t>Value reportable in Table 3.1.1(ii)</t>
        </is>
      </c>
      <c r="B11" s="18" t="n">
        <v>46118.33</v>
      </c>
      <c r="C11" s="19" t="inlineStr">
        <is>
          <t>₹46,118.33 × 5% = ₹2,305.92, which is exactly the tax Swiggy discharged</t>
        </is>
      </c>
    </row>
    <row r="12"/>
    <row r="13">
      <c r="A13" s="5" t="inlineStr">
        <is>
          <t>Tax payable and payment</t>
        </is>
      </c>
    </row>
    <row r="14" ht="30" customHeight="1">
      <c r="A14" s="6" t="inlineStr">
        <is>
          <t>Particulars</t>
        </is>
      </c>
      <c r="B14" s="6" t="inlineStr">
        <is>
          <t>Amount (₹)</t>
        </is>
      </c>
      <c r="C14" s="6" t="inlineStr">
        <is>
          <t>Remark</t>
        </is>
      </c>
    </row>
    <row r="15" ht="30" customHeight="1">
      <c r="A15" s="12" t="inlineStr">
        <is>
          <t>Output tax on your own supplies</t>
        </is>
      </c>
      <c r="B15" s="10" t="n">
        <v>0</v>
      </c>
      <c r="C15" s="11" t="inlineStr">
        <is>
          <t>Nil as per the annexures — no direct sales figures available</t>
        </is>
      </c>
    </row>
    <row r="16" ht="30" customHeight="1">
      <c r="A16" s="12" t="inlineStr">
        <is>
          <t>Output tax on Swiggy (Section 9(5)) supplies</t>
        </is>
      </c>
      <c r="B16" s="10" t="n">
        <v>0</v>
      </c>
      <c r="C16" s="11" t="inlineStr">
        <is>
          <t>Discharged by Swiggy in cash — ₹2,305.92 retained from the payouts, being 5% of the ₹46,118.33 reportable value</t>
        </is>
      </c>
    </row>
    <row r="17" ht="30" customHeight="1">
      <c r="A17" s="12" t="inlineStr">
        <is>
          <t>Total GST payable in cash by the restaurant</t>
        </is>
      </c>
      <c r="B17" s="10" t="n">
        <v>0</v>
      </c>
      <c r="C17" s="11" t="inlineStr">
        <is>
          <t>No tax is payable by you on the Swiggy supplies</t>
        </is>
      </c>
    </row>
    <row r="18" ht="30" customHeight="1">
      <c r="A18" s="12" t="inlineStr">
        <is>
          <t>ITC available — GST charged by Swiggy on its service fee</t>
        </is>
      </c>
      <c r="B18" s="10" t="n">
        <v>0</v>
      </c>
      <c r="C18" s="11" t="inlineStr">
        <is>
          <t>₹2,326.64 was charged by Swiggy at 18%; ITC is not available to a restaurant at the 5% no-ITC rate</t>
        </is>
      </c>
    </row>
    <row r="19" ht="30" customHeight="1">
      <c r="A19" s="12" t="inlineStr">
        <is>
          <t>ITC available — other inputs</t>
        </is>
      </c>
      <c r="B19" s="10" t="n">
        <v>0</v>
      </c>
      <c r="C19" s="11" t="inlineStr">
        <is>
          <t>Not available at the 5% restaurant rate</t>
        </is>
      </c>
    </row>
    <row r="20" ht="30" customHeight="1">
      <c r="A20" s="12" t="inlineStr">
        <is>
          <t>Net GST payable in cash</t>
        </is>
      </c>
      <c r="B20" s="10" t="n">
        <v>0</v>
      </c>
      <c r="C20" s="11" t="inlineStr">
        <is>
          <t>Nil</t>
        </is>
      </c>
    </row>
    <row r="21"/>
    <row r="22">
      <c r="A22" s="5" t="inlineStr">
        <is>
          <t>Reconciliation of the annexures to the return</t>
        </is>
      </c>
    </row>
    <row r="23" ht="30" customHeight="1">
      <c r="A23" s="6" t="inlineStr">
        <is>
          <t>Particulars</t>
        </is>
      </c>
      <c r="B23" s="6" t="inlineStr">
        <is>
          <t>Amount (₹)</t>
        </is>
      </c>
      <c r="C23" s="6" t="inlineStr">
        <is>
          <t>Remark</t>
        </is>
      </c>
    </row>
    <row r="24">
      <c r="A24" s="12" t="inlineStr">
        <is>
          <t>Gross amount collected from customers</t>
        </is>
      </c>
      <c r="B24" s="13" t="n">
        <v>48548.27</v>
      </c>
      <c r="C24" s="11" t="inlineStr">
        <is>
          <t>Per the Order Level sheets</t>
        </is>
      </c>
    </row>
    <row r="25">
      <c r="A25" s="12" t="inlineStr">
        <is>
          <t>Less: Swiggy fees — commission and payment collection (line B)</t>
        </is>
      </c>
      <c r="B25" s="13" t="n">
        <v>-12925.06</v>
      </c>
      <c r="C25" s="11" t="inlineStr">
        <is>
          <t>Swiggy's consideration for its services, excluding the GST charged on those fees</t>
        </is>
      </c>
    </row>
    <row r="26">
      <c r="A26" s="12" t="inlineStr">
        <is>
          <t>Less: GST retained and discharged by Swiggy under Section 9(5)</t>
        </is>
      </c>
      <c r="B26" s="13" t="n">
        <v>-2305.92</v>
      </c>
      <c r="C26" s="11" t="inlineStr">
        <is>
          <t>The 5% GST on the food supply, deposited by Swiggy on your behalf</t>
        </is>
      </c>
    </row>
    <row r="27">
      <c r="A27" s="12" t="inlineStr">
        <is>
          <t>Less: GST charged by Swiggy on its own service fee @18%</t>
        </is>
      </c>
      <c r="B27" s="13" t="n">
        <v>-2326.64</v>
      </c>
      <c r="C27" s="11" t="inlineStr">
        <is>
          <t>Swiggy's output tax recovered from you; not claimable as ITC at the 5% rate</t>
        </is>
      </c>
    </row>
    <row r="28">
      <c r="A28" s="12" t="inlineStr">
        <is>
          <t>Less: TDS under Section 194-O</t>
        </is>
      </c>
      <c r="B28" s="13" t="n">
        <v>-46.14</v>
      </c>
      <c r="C28" s="11" t="inlineStr">
        <is>
          <t>Income-tax TDS deducted by Swiggy</t>
        </is>
      </c>
    </row>
    <row r="29">
      <c r="A29" s="12" t="inlineStr">
        <is>
          <t>Less: complaint &amp; cancellation charges (line C)</t>
        </is>
      </c>
      <c r="B29" s="13" t="n">
        <v>-123.9</v>
      </c>
      <c r="C29" s="11" t="inlineStr">
        <is>
          <t>Net of the cancelled order in the 01–05 Sep cycle</t>
        </is>
      </c>
    </row>
    <row r="30">
      <c r="A30" s="12" t="inlineStr">
        <is>
          <t>Less: ads investment recovered (line D)</t>
        </is>
      </c>
      <c r="B30" s="13" t="n">
        <v>-680.84</v>
      </c>
      <c r="C30" s="11" t="inlineStr">
        <is>
          <t>Restaurant-level deduction</t>
        </is>
      </c>
    </row>
    <row r="31">
      <c r="A31" s="17" t="inlineStr">
        <is>
          <t>Net payouts credited by Swiggy (per the annexures)</t>
        </is>
      </c>
      <c r="B31" s="18" t="n">
        <v>30139.91</v>
      </c>
      <c r="C31" s="19" t="inlineStr">
        <is>
          <t>Component-wise total is ₹30,139.77; the ₹0.14 difference is Swiggy's own paise rounding in the annexures</t>
        </is>
      </c>
    </row>
    <row r="33">
      <c r="A33" s="22" t="inlineStr">
        <is>
          <t>Source: Swiggy weekly payout annexures · Prepared 05 October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60" customWidth="1" min="1" max="1"/>
    <col width="17" customWidth="1" min="2" max="2"/>
    <col width="60" customWidth="1" min="3" max="3"/>
    <col width="31" customWidth="1" min="4" max="4"/>
    <col width="60" customWidth="1" min="5" max="5"/>
    <col width="25" customWidth="1" min="6" max="6"/>
    <col width="52" customWidth="1" min="7" max="7"/>
    <col width="40" customWidth="1" min="8" max="8"/>
  </cols>
  <sheetData>
    <row r="1">
      <c r="A1" s="8" t="inlineStr">
        <is>
          <t>Section 9(5) — GST billed vs GST discharged by Swiggy</t>
        </is>
      </c>
    </row>
    <row r="2">
      <c r="A2" s="2" t="inlineStr">
        <is>
          <t>Swiggy retains the tax from the payout and deposits it on the restaurant's behalf</t>
        </is>
      </c>
    </row>
    <row r="3"/>
    <row r="4" ht="30" customHeight="1">
      <c r="A4" s="4" t="inlineStr">
        <is>
          <t>A pre-pickup cancellation not caused by the restaurant is compensated at 80% of the order value, so GST u/s 9(5) is discharged on the compensation value: ₹590.00 × 80% = ₹472.00 × 5% = ₹23.60 for order 247576408124202. The un-compensated 20% (₹118.00) is not a supply and carries no GST.</t>
        </is>
      </c>
    </row>
    <row r="5"/>
    <row r="6" ht="30" customHeight="1">
      <c r="A6" s="6" t="inlineStr">
        <is>
          <t>Payout period</t>
        </is>
      </c>
      <c r="B6" s="6" t="inlineStr">
        <is>
          <t>Billed value</t>
        </is>
      </c>
      <c r="C6" s="6" t="inlineStr">
        <is>
          <t>Cancellation adjustment (value)</t>
        </is>
      </c>
      <c r="D6" s="6" t="inlineStr">
        <is>
          <t>GST on the un-compensated 20%</t>
        </is>
      </c>
      <c r="E6" s="6" t="inlineStr">
        <is>
          <t>Complaint &amp; cancellation charges deducted</t>
        </is>
      </c>
      <c r="F6" s="6" t="inlineStr">
        <is>
          <t>GST on reportable value</t>
        </is>
      </c>
      <c r="G6" s="6" t="inlineStr">
        <is>
          <t>GST discharged by Swiggy</t>
        </is>
      </c>
      <c r="H6" s="6" t="inlineStr">
        <is>
          <t>Remark</t>
        </is>
      </c>
    </row>
    <row r="7" ht="24" customHeight="1">
      <c r="A7" s="12" t="inlineStr">
        <is>
          <t>01–05 Sep 2026</t>
        </is>
      </c>
      <c r="B7" s="13" t="n">
        <v>10483</v>
      </c>
      <c r="C7" s="15" t="n">
        <v>-118</v>
      </c>
      <c r="D7" s="15" t="n">
        <v>5.9</v>
      </c>
      <c r="E7" s="15" t="n">
        <v>123.9</v>
      </c>
      <c r="F7" s="13" t="n">
        <v>518.25</v>
      </c>
      <c r="G7" s="13" t="n">
        <v>518.25</v>
      </c>
      <c r="H7" s="12" t="inlineStr">
        <is>
          <t>Agrees to the paisa</t>
        </is>
      </c>
    </row>
    <row r="8" ht="24" customHeight="1">
      <c r="A8" s="12" t="inlineStr">
        <is>
          <t>06–12 Sep 2026</t>
        </is>
      </c>
      <c r="B8" s="13" t="n">
        <v>11445</v>
      </c>
      <c r="C8" s="13" t="n">
        <v>-0</v>
      </c>
      <c r="D8" s="13" t="n">
        <v>0</v>
      </c>
      <c r="E8" s="13" t="n">
        <v>0</v>
      </c>
      <c r="F8" s="13" t="n">
        <v>572.25</v>
      </c>
      <c r="G8" s="13" t="n">
        <v>572.25</v>
      </c>
      <c r="H8" s="12" t="inlineStr">
        <is>
          <t>Agrees to the paisa</t>
        </is>
      </c>
    </row>
    <row r="9" ht="24" customHeight="1">
      <c r="A9" s="12" t="inlineStr">
        <is>
          <t>13–19 Sep 2026</t>
        </is>
      </c>
      <c r="B9" s="13" t="n">
        <v>12545</v>
      </c>
      <c r="C9" s="13" t="n">
        <v>-0</v>
      </c>
      <c r="D9" s="13" t="n">
        <v>0</v>
      </c>
      <c r="E9" s="13" t="n">
        <v>0</v>
      </c>
      <c r="F9" s="13" t="n">
        <v>627.25</v>
      </c>
      <c r="G9" s="13" t="n">
        <v>627.25</v>
      </c>
      <c r="H9" s="12" t="inlineStr">
        <is>
          <t>Agrees to the paisa</t>
        </is>
      </c>
    </row>
    <row r="10" ht="24" customHeight="1">
      <c r="A10" s="12" t="inlineStr">
        <is>
          <t>20–26 Sep 2026</t>
        </is>
      </c>
      <c r="B10" s="13" t="n">
        <v>4643.33</v>
      </c>
      <c r="C10" s="13" t="n">
        <v>-0</v>
      </c>
      <c r="D10" s="13" t="n">
        <v>0</v>
      </c>
      <c r="E10" s="13" t="n">
        <v>0</v>
      </c>
      <c r="F10" s="13" t="n">
        <v>232.17</v>
      </c>
      <c r="G10" s="13" t="n">
        <v>232.17</v>
      </c>
      <c r="H10" s="12" t="inlineStr">
        <is>
          <t>Agrees to the paisa</t>
        </is>
      </c>
    </row>
    <row r="11" ht="24" customHeight="1">
      <c r="A11" s="12" t="inlineStr">
        <is>
          <t>27–30 Sep 2026</t>
        </is>
      </c>
      <c r="B11" s="13" t="n">
        <v>7120</v>
      </c>
      <c r="C11" s="13" t="n">
        <v>-0</v>
      </c>
      <c r="D11" s="13" t="n">
        <v>0</v>
      </c>
      <c r="E11" s="13" t="n">
        <v>0</v>
      </c>
      <c r="F11" s="13" t="n">
        <v>356</v>
      </c>
      <c r="G11" s="13" t="n">
        <v>356</v>
      </c>
      <c r="H11" s="12" t="inlineStr">
        <is>
          <t>Agrees to the paisa</t>
        </is>
      </c>
    </row>
    <row r="12">
      <c r="A12" s="17" t="inlineStr">
        <is>
          <t>TOTAL</t>
        </is>
      </c>
      <c r="B12" s="18" t="n">
        <v>46236.33</v>
      </c>
      <c r="C12" s="18" t="n">
        <v>-118</v>
      </c>
      <c r="D12" s="18" t="n">
        <v>5.9</v>
      </c>
      <c r="E12" s="18" t="n">
        <v>123.9</v>
      </c>
      <c r="F12" s="18" t="n">
        <v>2305.92</v>
      </c>
      <c r="G12" s="18" t="n">
        <v>2305.92</v>
      </c>
      <c r="H12" s="17" t="inlineStr">
        <is>
          <t>GST discharged = 5% × reportable value</t>
        </is>
      </c>
    </row>
    <row r="13"/>
    <row r="14">
      <c r="A14" s="5" t="inlineStr">
        <is>
          <t>Reconciliation of the difference between GST billed to customers and GST discharged</t>
        </is>
      </c>
    </row>
    <row r="15" ht="30" customHeight="1">
      <c r="A15" s="6" t="inlineStr">
        <is>
          <t>Particulars</t>
        </is>
      </c>
      <c r="B15" s="6" t="inlineStr">
        <is>
          <t>Amount (₹)</t>
        </is>
      </c>
      <c r="C15" s="6" t="inlineStr">
        <is>
          <t>Remark</t>
        </is>
      </c>
    </row>
    <row r="16" ht="28" customHeight="1">
      <c r="A16" s="12" t="inlineStr">
        <is>
          <t>GST collected from customers on the billed value</t>
        </is>
      </c>
      <c r="B16" s="13" t="n">
        <v>2311.94</v>
      </c>
      <c r="C16" s="11" t="inlineStr">
        <is>
          <t>5% charged on the full value of every order, as shown to the customer</t>
        </is>
      </c>
    </row>
    <row r="17" ht="28" customHeight="1">
      <c r="A17" s="12" t="inlineStr">
        <is>
          <t>Less: GST on the un-compensated 20% of the cancelled order</t>
        </is>
      </c>
      <c r="B17" s="13" t="n">
        <v>-5.9</v>
      </c>
      <c r="C17" s="11" t="inlineStr">
        <is>
          <t>Order 247576408124202 — ₹118.00 × 5% = ₹5.90. This GST is not payable (the 20% is not a supply) and is deducted from the payout inside the ₹123.90 'Complaint &amp; Cancellation Charges' amount</t>
        </is>
      </c>
    </row>
    <row r="18" ht="28" customHeight="1">
      <c r="A18" s="12" t="inlineStr">
        <is>
          <t>Less: paise rounding on the individual orders</t>
        </is>
      </c>
      <c r="B18" s="13" t="n">
        <v>-0.12</v>
      </c>
      <c r="C18" s="11" t="inlineStr">
        <is>
          <t>Each order's GST is rounded to the nearest paisa in the annexure (roughly ₹0.01 on 13 orders)</t>
        </is>
      </c>
    </row>
    <row r="19" ht="28" customHeight="1">
      <c r="A19" s="17" t="inlineStr">
        <is>
          <t>GST discharged by Swiggy (per the annexures)</t>
        </is>
      </c>
      <c r="B19" s="18" t="n">
        <v>2305.92</v>
      </c>
      <c r="C19" s="19" t="inlineStr">
        <is>
          <t>Agrees with 5% of the ₹46,118.33 reportable value</t>
        </is>
      </c>
    </row>
    <row r="20"/>
    <row r="21"/>
    <row r="22">
      <c r="A22" s="5" t="inlineStr">
        <is>
          <t>Order-wise detail — every order where GST billed differs from GST discharged</t>
        </is>
      </c>
    </row>
    <row r="23" ht="30" customHeight="1">
      <c r="A23" s="6" t="inlineStr">
        <is>
          <t>Payout period</t>
        </is>
      </c>
      <c r="B23" s="6" t="inlineStr">
        <is>
          <t>Order ID</t>
        </is>
      </c>
      <c r="C23" s="6" t="inlineStr">
        <is>
          <t>Order status</t>
        </is>
      </c>
      <c r="D23" s="6" t="inlineStr">
        <is>
          <t>GST collected</t>
        </is>
      </c>
      <c r="E23" s="6" t="inlineStr">
        <is>
          <t>GST retained</t>
        </is>
      </c>
      <c r="F23" s="6" t="inlineStr">
        <is>
          <t>Difference</t>
        </is>
      </c>
      <c r="G23" s="6" t="inlineStr">
        <is>
          <t>Remark</t>
        </is>
      </c>
    </row>
    <row r="24" ht="24" customHeight="1">
      <c r="A24" s="12" t="inlineStr">
        <is>
          <t>01–05 Sep 2026</t>
        </is>
      </c>
      <c r="B24" s="12" t="inlineStr">
        <is>
          <t>247244498168136</t>
        </is>
      </c>
      <c r="C24" s="12" t="inlineStr">
        <is>
          <t>delivered</t>
        </is>
      </c>
      <c r="D24" s="13" t="n">
        <v>12.76</v>
      </c>
      <c r="E24" s="13" t="n">
        <v>12.75</v>
      </c>
      <c r="F24" s="13" t="n">
        <v>0.01</v>
      </c>
      <c r="G24" s="12" t="inlineStr">
        <is>
          <t>Paise rounding</t>
        </is>
      </c>
    </row>
    <row r="25" ht="24" customHeight="1">
      <c r="A25" s="12" t="inlineStr">
        <is>
          <t>01–05 Sep 2026</t>
        </is>
      </c>
      <c r="B25" s="12" t="inlineStr">
        <is>
          <t>247387651166955</t>
        </is>
      </c>
      <c r="C25" s="12" t="inlineStr">
        <is>
          <t>delivered</t>
        </is>
      </c>
      <c r="D25" s="13" t="n">
        <v>29.26</v>
      </c>
      <c r="E25" s="13" t="n">
        <v>29.25</v>
      </c>
      <c r="F25" s="13" t="n">
        <v>0.01</v>
      </c>
      <c r="G25" s="12" t="inlineStr">
        <is>
          <t>Paise rounding</t>
        </is>
      </c>
    </row>
    <row r="26" ht="24" customHeight="1">
      <c r="A26" s="12" t="inlineStr">
        <is>
          <t>01–05 Sep 2026</t>
        </is>
      </c>
      <c r="B26" s="12" t="inlineStr">
        <is>
          <t>247467129161764</t>
        </is>
      </c>
      <c r="C26" s="12" t="inlineStr">
        <is>
          <t>delivered</t>
        </is>
      </c>
      <c r="D26" s="13" t="n">
        <v>50.46</v>
      </c>
      <c r="E26" s="13" t="n">
        <v>50.45</v>
      </c>
      <c r="F26" s="13" t="n">
        <v>0.01</v>
      </c>
      <c r="G26" s="12" t="inlineStr">
        <is>
          <t>Paise rounding</t>
        </is>
      </c>
    </row>
    <row r="27" ht="24" customHeight="1">
      <c r="A27" s="12" t="inlineStr">
        <is>
          <t>01–05 Sep 2026</t>
        </is>
      </c>
      <c r="B27" s="12" t="inlineStr">
        <is>
          <t>247476603185070</t>
        </is>
      </c>
      <c r="C27" s="12" t="inlineStr">
        <is>
          <t>delivered</t>
        </is>
      </c>
      <c r="D27" s="13" t="n">
        <v>55.46</v>
      </c>
      <c r="E27" s="13" t="n">
        <v>55.45</v>
      </c>
      <c r="F27" s="13" t="n">
        <v>0.01</v>
      </c>
      <c r="G27" s="12" t="inlineStr">
        <is>
          <t>Paise rounding</t>
        </is>
      </c>
    </row>
    <row r="28" ht="24" customHeight="1">
      <c r="A28" s="12" t="inlineStr">
        <is>
          <t>01–05 Sep 2026</t>
        </is>
      </c>
      <c r="B28" s="12" t="inlineStr">
        <is>
          <t>247500698178250</t>
        </is>
      </c>
      <c r="C28" s="12" t="inlineStr">
        <is>
          <t>delivered</t>
        </is>
      </c>
      <c r="D28" s="13" t="n">
        <v>12.76</v>
      </c>
      <c r="E28" s="13" t="n">
        <v>12.75</v>
      </c>
      <c r="F28" s="13" t="n">
        <v>0.01</v>
      </c>
      <c r="G28" s="12" t="inlineStr">
        <is>
          <t>Paise rounding</t>
        </is>
      </c>
    </row>
    <row r="29" ht="24" customHeight="1">
      <c r="A29" s="34" t="inlineStr">
        <is>
          <t>01–05 Sep 2026</t>
        </is>
      </c>
      <c r="B29" s="34" t="inlineStr">
        <is>
          <t>247576408124202</t>
        </is>
      </c>
      <c r="C29" s="34" t="inlineStr">
        <is>
          <t>cancelled</t>
        </is>
      </c>
      <c r="D29" s="35" t="n">
        <v>29.5</v>
      </c>
      <c r="E29" s="35" t="n">
        <v>23.6</v>
      </c>
      <c r="F29" s="35" t="n">
        <v>5.9</v>
      </c>
      <c r="G29" s="34" t="inlineStr">
        <is>
          <t>Cancelled by Swiggy before pickup — compensated at 80% of the order value; GST discharged on ₹472.00 (the compensation value), not on the billed ₹590.00</t>
        </is>
      </c>
    </row>
    <row r="30" ht="24" customHeight="1">
      <c r="A30" s="12" t="inlineStr">
        <is>
          <t>06–12 Sep 2026</t>
        </is>
      </c>
      <c r="B30" s="12" t="inlineStr">
        <is>
          <t>247683573170717</t>
        </is>
      </c>
      <c r="C30" s="12" t="inlineStr">
        <is>
          <t>delivered</t>
        </is>
      </c>
      <c r="D30" s="13" t="n">
        <v>28.26</v>
      </c>
      <c r="E30" s="13" t="n">
        <v>28.25</v>
      </c>
      <c r="F30" s="13" t="n">
        <v>0.01</v>
      </c>
      <c r="G30" s="12" t="inlineStr">
        <is>
          <t>Paise rounding</t>
        </is>
      </c>
    </row>
    <row r="31" ht="24" customHeight="1">
      <c r="A31" s="12" t="inlineStr">
        <is>
          <t>06–12 Sep 2026</t>
        </is>
      </c>
      <c r="B31" s="12" t="inlineStr">
        <is>
          <t>247833210169323</t>
        </is>
      </c>
      <c r="C31" s="12" t="inlineStr">
        <is>
          <t>delivered</t>
        </is>
      </c>
      <c r="D31" s="13" t="n">
        <v>12.76</v>
      </c>
      <c r="E31" s="13" t="n">
        <v>12.75</v>
      </c>
      <c r="F31" s="13" t="n">
        <v>0.01</v>
      </c>
      <c r="G31" s="12" t="inlineStr">
        <is>
          <t>Paise rounding</t>
        </is>
      </c>
    </row>
    <row r="32" ht="24" customHeight="1">
      <c r="A32" s="12" t="inlineStr">
        <is>
          <t>06–12 Sep 2026</t>
        </is>
      </c>
      <c r="B32" s="12" t="inlineStr">
        <is>
          <t>248196819172071</t>
        </is>
      </c>
      <c r="C32" s="12" t="inlineStr">
        <is>
          <t>delivered</t>
        </is>
      </c>
      <c r="D32" s="13" t="n">
        <v>33.76</v>
      </c>
      <c r="E32" s="13" t="n">
        <v>33.75</v>
      </c>
      <c r="F32" s="13" t="n">
        <v>0.01</v>
      </c>
      <c r="G32" s="12" t="inlineStr">
        <is>
          <t>Paise rounding</t>
        </is>
      </c>
    </row>
    <row r="33" ht="24" customHeight="1">
      <c r="A33" s="12" t="inlineStr">
        <is>
          <t>13–19 Sep 2026</t>
        </is>
      </c>
      <c r="B33" s="12" t="inlineStr">
        <is>
          <t>248525259151529</t>
        </is>
      </c>
      <c r="C33" s="12" t="inlineStr">
        <is>
          <t>delivered</t>
        </is>
      </c>
      <c r="D33" s="13" t="n">
        <v>27.76</v>
      </c>
      <c r="E33" s="13" t="n">
        <v>27.75</v>
      </c>
      <c r="F33" s="13" t="n">
        <v>0.01</v>
      </c>
      <c r="G33" s="12" t="inlineStr">
        <is>
          <t>Paise rounding</t>
        </is>
      </c>
    </row>
    <row r="34" ht="24" customHeight="1">
      <c r="A34" s="12" t="inlineStr">
        <is>
          <t>13–19 Sep 2026</t>
        </is>
      </c>
      <c r="B34" s="12" t="inlineStr">
        <is>
          <t>248797791123341</t>
        </is>
      </c>
      <c r="C34" s="12" t="inlineStr">
        <is>
          <t>delivered</t>
        </is>
      </c>
      <c r="D34" s="13" t="n">
        <v>29.26</v>
      </c>
      <c r="E34" s="13" t="n">
        <v>29.25</v>
      </c>
      <c r="F34" s="13" t="n">
        <v>0.01</v>
      </c>
      <c r="G34" s="12" t="inlineStr">
        <is>
          <t>Paise rounding</t>
        </is>
      </c>
    </row>
    <row r="35" ht="24" customHeight="1">
      <c r="A35" s="12" t="inlineStr">
        <is>
          <t>13–19 Sep 2026</t>
        </is>
      </c>
      <c r="B35" s="12" t="inlineStr">
        <is>
          <t>248801525170229</t>
        </is>
      </c>
      <c r="C35" s="12" t="inlineStr">
        <is>
          <t>delivered</t>
        </is>
      </c>
      <c r="D35" s="13" t="n">
        <v>31.26</v>
      </c>
      <c r="E35" s="13" t="n">
        <v>31.25</v>
      </c>
      <c r="F35" s="13" t="n">
        <v>0.01</v>
      </c>
      <c r="G35" s="12" t="inlineStr">
        <is>
          <t>Paise rounding</t>
        </is>
      </c>
    </row>
    <row r="36" ht="24" customHeight="1">
      <c r="A36" s="12" t="inlineStr">
        <is>
          <t>20–26 Sep 2026</t>
        </is>
      </c>
      <c r="B36" s="12" t="inlineStr">
        <is>
          <t>249062054177669</t>
        </is>
      </c>
      <c r="C36" s="12" t="inlineStr">
        <is>
          <t>delivered</t>
        </is>
      </c>
      <c r="D36" s="13" t="n">
        <v>45.66</v>
      </c>
      <c r="E36" s="13" t="n">
        <v>45.67</v>
      </c>
      <c r="F36" s="13" t="n">
        <v>-0.01</v>
      </c>
      <c r="G36" s="12" t="inlineStr">
        <is>
          <t>Paise rounding</t>
        </is>
      </c>
    </row>
    <row r="37" ht="24" customHeight="1">
      <c r="A37" s="12" t="inlineStr">
        <is>
          <t>20–26 Sep 2026</t>
        </is>
      </c>
      <c r="B37" s="12" t="inlineStr">
        <is>
          <t>249407685169966</t>
        </is>
      </c>
      <c r="C37" s="12" t="inlineStr">
        <is>
          <t>delivered</t>
        </is>
      </c>
      <c r="D37" s="13" t="n">
        <v>27.26</v>
      </c>
      <c r="E37" s="13" t="n">
        <v>27.25</v>
      </c>
      <c r="F37" s="13" t="n">
        <v>0.01</v>
      </c>
      <c r="G37" s="12" t="inlineStr">
        <is>
          <t>Paise rounding</t>
        </is>
      </c>
    </row>
    <row r="38" ht="24" customHeight="1">
      <c r="A38" s="12" t="inlineStr">
        <is>
          <t>20–26 Sep 2026</t>
        </is>
      </c>
      <c r="B38" s="12" t="inlineStr">
        <is>
          <t>249409054179105</t>
        </is>
      </c>
      <c r="C38" s="12" t="inlineStr">
        <is>
          <t>delivered</t>
        </is>
      </c>
      <c r="D38" s="13" t="n">
        <v>12.76</v>
      </c>
      <c r="E38" s="13" t="n">
        <v>12.75</v>
      </c>
      <c r="F38" s="13" t="n">
        <v>0.01</v>
      </c>
      <c r="G38" s="12" t="inlineStr">
        <is>
          <t>Paise rounding</t>
        </is>
      </c>
    </row>
    <row r="39"/>
    <row r="40">
      <c r="A40" s="5" t="inlineStr">
        <is>
          <t>What this means</t>
        </is>
      </c>
    </row>
    <row r="41" ht="28" customHeight="1">
      <c r="A41" s="4" t="inlineStr">
        <is>
          <t>•  Swiggy collects 5% GST from the customer and retains it from the payout — the restaurant does not pay this tax again.</t>
        </is>
      </c>
    </row>
    <row r="42" ht="28" customHeight="1">
      <c r="A42" s="4" t="inlineStr">
        <is>
          <t>•  On a pre-pickup cancellation the tax is discharged on the 80% compensation value, not on the full value the customer paid; that is the single reason the GST discharged is ₹5.90 lower than the GST billed this month. The remaining ₹0.12 is paise rounding inside the annexures.</t>
        </is>
      </c>
    </row>
    <row r="43" ht="28" customHeight="1">
      <c r="A43" s="4" t="inlineStr">
        <is>
          <t>•  Because the timing of the retained amount follows the payout cycle (not necessarily the order date), use the annexure cycle as the basis for the monthly reconciliation and keep this working as supporting evidence.</t>
        </is>
      </c>
    </row>
    <row r="45">
      <c r="A45" s="22" t="inlineStr">
        <is>
          <t>Source: Swiggy weekly payout annexures · Prepared 05 October 2026</t>
        </is>
      </c>
    </row>
  </sheetData>
  <mergeCells count="4">
    <mergeCell ref="A43:G43"/>
    <mergeCell ref="A4:H4"/>
    <mergeCell ref="A41:G41"/>
    <mergeCell ref="A42:G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70" customWidth="1" min="1" max="1"/>
    <col width="26" customWidth="1" min="2" max="2"/>
    <col width="70" customWidth="1" min="3" max="3"/>
    <col width="23" customWidth="1" min="4" max="4"/>
    <col width="70" customWidth="1" min="5" max="5"/>
  </cols>
  <sheetData>
    <row r="1">
      <c r="A1" s="8" t="inlineStr">
        <is>
          <t>TCS and TDS</t>
        </is>
      </c>
    </row>
    <row r="2">
      <c r="A2" s="2" t="inlineStr">
        <is>
          <t>Two different deductions — do not net them off</t>
        </is>
      </c>
    </row>
    <row r="3"/>
    <row r="4">
      <c r="A4" s="5" t="inlineStr">
        <is>
          <t>A. TCS under Section 52 of the CGST Act — GST law</t>
        </is>
      </c>
    </row>
    <row r="5" ht="30" customHeight="1">
      <c r="A5" s="6" t="inlineStr">
        <is>
          <t>Payout period</t>
        </is>
      </c>
      <c r="B5" s="6" t="inlineStr">
        <is>
          <t>TCS deducted (₹)</t>
        </is>
      </c>
      <c r="C5" s="6" t="inlineStr">
        <is>
          <t>Remark</t>
        </is>
      </c>
    </row>
    <row r="6">
      <c r="A6" s="12" t="inlineStr">
        <is>
          <t>01–05 Sep 2026</t>
        </is>
      </c>
      <c r="B6" s="13" t="n">
        <v>0</v>
      </c>
      <c r="C6" s="12" t="inlineStr">
        <is>
          <t>Nil — the annexure reports no TCS</t>
        </is>
      </c>
    </row>
    <row r="7">
      <c r="A7" s="12" t="inlineStr">
        <is>
          <t>06–12 Sep 2026</t>
        </is>
      </c>
      <c r="B7" s="13" t="n">
        <v>0</v>
      </c>
      <c r="C7" s="12" t="inlineStr">
        <is>
          <t>Nil — the annexure reports no TCS</t>
        </is>
      </c>
    </row>
    <row r="8">
      <c r="A8" s="12" t="inlineStr">
        <is>
          <t>13–19 Sep 2026</t>
        </is>
      </c>
      <c r="B8" s="13" t="n">
        <v>0</v>
      </c>
      <c r="C8" s="12" t="inlineStr">
        <is>
          <t>Nil — the annexure reports no TCS</t>
        </is>
      </c>
    </row>
    <row r="9">
      <c r="A9" s="12" t="inlineStr">
        <is>
          <t>20–26 Sep 2026</t>
        </is>
      </c>
      <c r="B9" s="13" t="n">
        <v>0</v>
      </c>
      <c r="C9" s="12" t="inlineStr">
        <is>
          <t>Nil — the annexure reports no TCS</t>
        </is>
      </c>
    </row>
    <row r="10">
      <c r="A10" s="12" t="inlineStr">
        <is>
          <t>27–30 Sep 2026</t>
        </is>
      </c>
      <c r="B10" s="13" t="n">
        <v>0</v>
      </c>
      <c r="C10" s="12" t="inlineStr">
        <is>
          <t>Nil — the annexure reports no TCS</t>
        </is>
      </c>
    </row>
    <row r="11" ht="32" customHeight="1">
      <c r="A11" s="36" t="inlineStr">
        <is>
          <t>TOTAL</t>
        </is>
      </c>
      <c r="B11" s="37" t="n">
        <v>0</v>
      </c>
      <c r="C11" s="36" t="inlineStr">
        <is>
          <t>TCS under Section 52 does not apply to restaurant services notified under Section 9(5) — Circular 167/23/2021-GST dated 17 Dec 2021</t>
        </is>
      </c>
    </row>
    <row r="12"/>
    <row r="13">
      <c r="A13" s="5" t="inlineStr">
        <is>
          <t>B. TDS under Section 194-O of the Income-tax Act — income tax</t>
        </is>
      </c>
    </row>
    <row r="14" ht="30" customHeight="1">
      <c r="A14" s="6" t="inlineStr">
        <is>
          <t>Payout period</t>
        </is>
      </c>
      <c r="B14" s="6" t="inlineStr">
        <is>
          <t>Reportable value (basis)</t>
        </is>
      </c>
      <c r="C14" s="6" t="inlineStr">
        <is>
          <t>TDS deducted</t>
        </is>
      </c>
      <c r="D14" s="6" t="inlineStr">
        <is>
          <t>Effective rate</t>
        </is>
      </c>
      <c r="E14" s="6" t="inlineStr">
        <is>
          <t>Remark</t>
        </is>
      </c>
    </row>
    <row r="15">
      <c r="A15" s="12" t="inlineStr">
        <is>
          <t>01–05 Sep 2026</t>
        </is>
      </c>
      <c r="B15" s="13" t="n">
        <v>10365</v>
      </c>
      <c r="C15" s="13" t="n">
        <v>10.37</v>
      </c>
      <c r="D15" s="38" t="n">
        <v>0.001000482392667631</v>
      </c>
      <c r="E15" s="12" t="inlineStr">
        <is>
          <t>Compensated-cancellation effect included: TDS is deducted on the 80% compensation value (₹472.00), not on the billed ₹590.00</t>
        </is>
      </c>
    </row>
    <row r="16">
      <c r="A16" s="12" t="inlineStr">
        <is>
          <t>06–12 Sep 2026</t>
        </is>
      </c>
      <c r="B16" s="13" t="n">
        <v>11445</v>
      </c>
      <c r="C16" s="13" t="n">
        <v>11.46</v>
      </c>
      <c r="D16" s="38" t="n">
        <v>0.001001310615989515</v>
      </c>
      <c r="E16" s="12" t="inlineStr">
        <is>
          <t>Credit available in Form 26AS / AIS</t>
        </is>
      </c>
    </row>
    <row r="17">
      <c r="A17" s="12" t="inlineStr">
        <is>
          <t>13–19 Sep 2026</t>
        </is>
      </c>
      <c r="B17" s="13" t="n">
        <v>12545</v>
      </c>
      <c r="C17" s="13" t="n">
        <v>12.54</v>
      </c>
      <c r="D17" s="38" t="n">
        <v>0.0009996014348345953</v>
      </c>
      <c r="E17" s="12" t="inlineStr">
        <is>
          <t>Credit available in Form 26AS / AIS</t>
        </is>
      </c>
    </row>
    <row r="18">
      <c r="A18" s="12" t="inlineStr">
        <is>
          <t>20–26 Sep 2026</t>
        </is>
      </c>
      <c r="B18" s="13" t="n">
        <v>4643.33</v>
      </c>
      <c r="C18" s="13" t="n">
        <v>4.65</v>
      </c>
      <c r="D18" s="38" t="n">
        <v>0.001001436469085764</v>
      </c>
      <c r="E18" s="12" t="inlineStr">
        <is>
          <t>Credit available in Form 26AS / AIS</t>
        </is>
      </c>
    </row>
    <row r="19">
      <c r="A19" s="12" t="inlineStr">
        <is>
          <t>27–30 Sep 2026</t>
        </is>
      </c>
      <c r="B19" s="13" t="n">
        <v>7120</v>
      </c>
      <c r="C19" s="13" t="n">
        <v>7.12</v>
      </c>
      <c r="D19" s="38" t="n">
        <v>0.001</v>
      </c>
      <c r="E19" s="12" t="inlineStr">
        <is>
          <t>Credit available in Form 26AS / AIS</t>
        </is>
      </c>
    </row>
    <row r="20">
      <c r="A20" s="17" t="inlineStr">
        <is>
          <t>TOTAL</t>
        </is>
      </c>
      <c r="B20" s="18" t="n">
        <v>46118.33</v>
      </c>
      <c r="C20" s="18" t="n">
        <v>46.14</v>
      </c>
      <c r="D20" s="39" t="n">
        <v>0.001000469878245808</v>
      </c>
      <c r="E20" s="17" t="inlineStr">
        <is>
          <t>Reconcile with Form 26AS / AIS and claim while filing the income-tax return</t>
        </is>
      </c>
    </row>
    <row r="21"/>
    <row r="22" ht="28" customHeight="1">
      <c r="A22" s="4" t="inlineStr">
        <is>
          <t>•  TDS is deducted at 0.1% of the supply value net of taxes. On a compensated pre-pickup cancellation that value is 80% of the order (₹472.00 for order 247576408124202, giving TDS of ₹0.47 instead of ₹0.59) — the annexure agrees with this basis.</t>
        </is>
      </c>
    </row>
    <row r="23" ht="28" customHeight="1">
      <c r="A23" s="4" t="inlineStr">
        <is>
          <t>•  Verify the rate applied by Swiggy against your PAN status on the TRACES portal.</t>
        </is>
      </c>
    </row>
    <row r="24" ht="28" customHeight="1">
      <c r="A24" s="4" t="inlineStr">
        <is>
          <t>•  TDS is an income-tax credit, not a GST item; it must not be treated as a tax cost in the GST working.</t>
        </is>
      </c>
    </row>
    <row r="25" ht="28" customHeight="1">
      <c r="A25" s="4" t="inlineStr">
        <is>
          <t>•  TCS being nil is correct for these orders — do not expect any GST TCS credit in GSTR-2B for this month.</t>
        </is>
      </c>
    </row>
  </sheetData>
  <mergeCells count="4">
    <mergeCell ref="A22:E22"/>
    <mergeCell ref="A23:E23"/>
    <mergeCell ref="A25:E25"/>
    <mergeCell ref="A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8" customWidth="1" min="6" max="6"/>
    <col width="14" customWidth="1" min="7" max="7"/>
    <col width="8" customWidth="1" min="8" max="8"/>
    <col width="14" customWidth="1" min="9" max="9"/>
    <col width="16" customWidth="1" min="10" max="10"/>
    <col width="12" customWidth="1" min="11" max="11"/>
    <col width="11" customWidth="1" min="12" max="12"/>
    <col width="11" customWidth="1" min="13" max="13"/>
    <col width="16" customWidth="1" min="14" max="14"/>
    <col width="11" customWidth="1" min="15" max="15"/>
    <col width="12" customWidth="1" min="16" max="16"/>
    <col width="12" customWidth="1" min="17" max="17"/>
    <col width="44" customWidth="1" min="18" max="18"/>
  </cols>
  <sheetData>
    <row r="1" ht="30" customHeight="1">
      <c r="A1" s="6" t="inlineStr">
        <is>
          <t>Payout period</t>
        </is>
      </c>
      <c r="B1" s="6" t="inlineStr">
        <is>
          <t>Order ID</t>
        </is>
      </c>
      <c r="C1" s="6" t="inlineStr">
        <is>
          <t>Order date</t>
        </is>
      </c>
      <c r="D1" s="6" t="inlineStr">
        <is>
          <t>Order status</t>
        </is>
      </c>
      <c r="E1" s="6" t="inlineStr">
        <is>
          <t>Cancelled by</t>
        </is>
      </c>
      <c r="F1" s="6" t="inlineStr">
        <is>
          <t>GSTIN</t>
        </is>
      </c>
      <c r="G1" s="6" t="inlineStr">
        <is>
          <t>Place of supply</t>
        </is>
      </c>
      <c r="H1" s="6" t="inlineStr">
        <is>
          <t>Rate</t>
        </is>
      </c>
      <c r="I1" s="6" t="inlineStr">
        <is>
          <t>Taxable value billed</t>
        </is>
      </c>
      <c r="J1" s="6" t="inlineStr">
        <is>
          <t>GST-reportable value (after cancellation adjustment)</t>
        </is>
      </c>
      <c r="K1" s="6" t="inlineStr">
        <is>
          <t>GST charged</t>
        </is>
      </c>
      <c r="L1" s="6" t="inlineStr">
        <is>
          <t>CGST @2.5%</t>
        </is>
      </c>
      <c r="M1" s="6" t="inlineStr">
        <is>
          <t>SGST @2.5%</t>
        </is>
      </c>
      <c r="N1" s="6" t="inlineStr">
        <is>
          <t>GST discharged by Swiggy u/s 9(5)</t>
        </is>
      </c>
      <c r="O1" s="6" t="inlineStr">
        <is>
          <t>Difference</t>
        </is>
      </c>
      <c r="P1" s="6" t="inlineStr">
        <is>
          <t>TDS u/s 194-O</t>
        </is>
      </c>
      <c r="Q1" s="6" t="inlineStr">
        <is>
          <t>Net payout</t>
        </is>
      </c>
      <c r="R1" s="6" t="inlineStr">
        <is>
          <t>Remark</t>
        </is>
      </c>
    </row>
    <row r="2">
      <c r="A2" s="40" t="inlineStr">
        <is>
          <t>01–05 Sep 2026</t>
        </is>
      </c>
      <c r="B2" s="40" t="inlineStr">
        <is>
          <t>247219772159935</t>
        </is>
      </c>
      <c r="C2" s="41" t="n">
        <v>46266.56912037037</v>
      </c>
      <c r="D2" s="40" t="inlineStr">
        <is>
          <t>delivered</t>
        </is>
      </c>
      <c r="E2" s="40" t="n"/>
      <c r="F2" s="40" t="inlineStr">
        <is>
          <t>24AAQFC3084Q1ZT</t>
        </is>
      </c>
      <c r="G2" s="40" t="inlineStr">
        <is>
          <t>Gujarat (24)</t>
        </is>
      </c>
      <c r="H2" s="40" t="inlineStr">
        <is>
          <t>5%</t>
        </is>
      </c>
      <c r="I2" s="42" t="n">
        <v>610</v>
      </c>
      <c r="J2" s="42" t="n">
        <v>610</v>
      </c>
      <c r="K2" s="42" t="n">
        <v>30.5</v>
      </c>
      <c r="L2" s="42" t="n">
        <v>15.25</v>
      </c>
      <c r="M2" s="42" t="n">
        <v>15.25</v>
      </c>
      <c r="N2" s="42" t="n">
        <v>30.5</v>
      </c>
      <c r="O2" s="42" t="n">
        <v>0</v>
      </c>
      <c r="P2" s="42" t="n">
        <v>0.61</v>
      </c>
      <c r="Q2" s="42" t="n">
        <v>412.88</v>
      </c>
      <c r="R2" s="43" t="inlineStr"/>
    </row>
    <row r="3">
      <c r="A3" s="40" t="inlineStr">
        <is>
          <t>01–05 Sep 2026</t>
        </is>
      </c>
      <c r="B3" s="40" t="inlineStr">
        <is>
          <t>247244498168136</t>
        </is>
      </c>
      <c r="C3" s="41" t="n">
        <v>46266.85530092593</v>
      </c>
      <c r="D3" s="40" t="inlineStr">
        <is>
          <t>delivered</t>
        </is>
      </c>
      <c r="E3" s="40" t="n"/>
      <c r="F3" s="40" t="inlineStr">
        <is>
          <t>24AAQFC3084Q1ZT</t>
        </is>
      </c>
      <c r="G3" s="40" t="inlineStr">
        <is>
          <t>Gujarat (24)</t>
        </is>
      </c>
      <c r="H3" s="40" t="inlineStr">
        <is>
          <t>5%</t>
        </is>
      </c>
      <c r="I3" s="42" t="n">
        <v>255</v>
      </c>
      <c r="J3" s="42" t="n">
        <v>255</v>
      </c>
      <c r="K3" s="42" t="n">
        <v>12.76</v>
      </c>
      <c r="L3" s="42" t="n">
        <v>6.38</v>
      </c>
      <c r="M3" s="42" t="n">
        <v>6.37</v>
      </c>
      <c r="N3" s="42" t="n">
        <v>12.75</v>
      </c>
      <c r="O3" s="42" t="n">
        <v>0</v>
      </c>
      <c r="P3" s="42" t="n">
        <v>0.26</v>
      </c>
      <c r="Q3" s="42" t="n">
        <v>172.6</v>
      </c>
      <c r="R3" s="43" t="inlineStr"/>
    </row>
    <row r="4">
      <c r="A4" s="40" t="inlineStr">
        <is>
          <t>01–05 Sep 2026</t>
        </is>
      </c>
      <c r="B4" s="40" t="inlineStr">
        <is>
          <t>247332562171641</t>
        </is>
      </c>
      <c r="C4" s="41" t="n">
        <v>46267.87456018518</v>
      </c>
      <c r="D4" s="40" t="inlineStr">
        <is>
          <t>delivered</t>
        </is>
      </c>
      <c r="E4" s="40" t="n"/>
      <c r="F4" s="40" t="inlineStr">
        <is>
          <t>24AAQFC3084Q1ZT</t>
        </is>
      </c>
      <c r="G4" s="40" t="inlineStr">
        <is>
          <t>Gujarat (24)</t>
        </is>
      </c>
      <c r="H4" s="40" t="inlineStr">
        <is>
          <t>5%</t>
        </is>
      </c>
      <c r="I4" s="42" t="n">
        <v>330</v>
      </c>
      <c r="J4" s="42" t="n">
        <v>330</v>
      </c>
      <c r="K4" s="42" t="n">
        <v>16.5</v>
      </c>
      <c r="L4" s="42" t="n">
        <v>8.25</v>
      </c>
      <c r="M4" s="42" t="n">
        <v>8.25</v>
      </c>
      <c r="N4" s="42" t="n">
        <v>16.5</v>
      </c>
      <c r="O4" s="42" t="n">
        <v>0</v>
      </c>
      <c r="P4" s="42" t="n">
        <v>0.33</v>
      </c>
      <c r="Q4" s="42" t="n">
        <v>223.36</v>
      </c>
      <c r="R4" s="43" t="inlineStr"/>
    </row>
    <row r="5">
      <c r="A5" s="40" t="inlineStr">
        <is>
          <t>01–05 Sep 2026</t>
        </is>
      </c>
      <c r="B5" s="40" t="inlineStr">
        <is>
          <t>247334675189405</t>
        </is>
      </c>
      <c r="C5" s="41" t="n">
        <v>46267.8990162037</v>
      </c>
      <c r="D5" s="40" t="inlineStr">
        <is>
          <t>delivered</t>
        </is>
      </c>
      <c r="E5" s="40" t="n"/>
      <c r="F5" s="40" t="inlineStr">
        <is>
          <t>24AAQFC3084Q1ZT</t>
        </is>
      </c>
      <c r="G5" s="40" t="inlineStr">
        <is>
          <t>Gujarat (24)</t>
        </is>
      </c>
      <c r="H5" s="40" t="inlineStr">
        <is>
          <t>5%</t>
        </is>
      </c>
      <c r="I5" s="42" t="n">
        <v>300</v>
      </c>
      <c r="J5" s="42" t="n">
        <v>300</v>
      </c>
      <c r="K5" s="42" t="n">
        <v>15</v>
      </c>
      <c r="L5" s="42" t="n">
        <v>7.5</v>
      </c>
      <c r="M5" s="42" t="n">
        <v>7.5</v>
      </c>
      <c r="N5" s="42" t="n">
        <v>15</v>
      </c>
      <c r="O5" s="42" t="n">
        <v>0</v>
      </c>
      <c r="P5" s="42" t="n">
        <v>0.3</v>
      </c>
      <c r="Q5" s="42" t="n">
        <v>203.06</v>
      </c>
      <c r="R5" s="43" t="inlineStr"/>
    </row>
    <row r="6">
      <c r="A6" s="40" t="inlineStr">
        <is>
          <t>01–05 Sep 2026</t>
        </is>
      </c>
      <c r="B6" s="40" t="inlineStr">
        <is>
          <t>247387651166955</t>
        </is>
      </c>
      <c r="C6" s="41" t="n">
        <v>46268.51216435185</v>
      </c>
      <c r="D6" s="40" t="inlineStr">
        <is>
          <t>delivered</t>
        </is>
      </c>
      <c r="E6" s="40" t="n"/>
      <c r="F6" s="40" t="inlineStr">
        <is>
          <t>24AAQFC3084Q1ZT</t>
        </is>
      </c>
      <c r="G6" s="40" t="inlineStr">
        <is>
          <t>Gujarat (24)</t>
        </is>
      </c>
      <c r="H6" s="40" t="inlineStr">
        <is>
          <t>5%</t>
        </is>
      </c>
      <c r="I6" s="42" t="n">
        <v>585</v>
      </c>
      <c r="J6" s="42" t="n">
        <v>585</v>
      </c>
      <c r="K6" s="42" t="n">
        <v>29.26</v>
      </c>
      <c r="L6" s="42" t="n">
        <v>14.62</v>
      </c>
      <c r="M6" s="42" t="n">
        <v>14.63</v>
      </c>
      <c r="N6" s="42" t="n">
        <v>29.25</v>
      </c>
      <c r="O6" s="42" t="n">
        <v>0</v>
      </c>
      <c r="P6" s="42" t="n">
        <v>0.58</v>
      </c>
      <c r="Q6" s="42" t="n">
        <v>395.96</v>
      </c>
      <c r="R6" s="43" t="inlineStr"/>
    </row>
    <row r="7">
      <c r="A7" s="40" t="inlineStr">
        <is>
          <t>01–05 Sep 2026</t>
        </is>
      </c>
      <c r="B7" s="40" t="inlineStr">
        <is>
          <t>247413244164815</t>
        </is>
      </c>
      <c r="C7" s="41" t="n">
        <v>46268.80837962963</v>
      </c>
      <c r="D7" s="40" t="inlineStr">
        <is>
          <t>delivered</t>
        </is>
      </c>
      <c r="E7" s="40" t="n"/>
      <c r="F7" s="40" t="inlineStr">
        <is>
          <t>24AAQFC3084Q1ZT</t>
        </is>
      </c>
      <c r="G7" s="40" t="inlineStr">
        <is>
          <t>Gujarat (24)</t>
        </is>
      </c>
      <c r="H7" s="40" t="inlineStr">
        <is>
          <t>5%</t>
        </is>
      </c>
      <c r="I7" s="42" t="n">
        <v>1080</v>
      </c>
      <c r="J7" s="42" t="n">
        <v>1080</v>
      </c>
      <c r="K7" s="42" t="n">
        <v>54</v>
      </c>
      <c r="L7" s="42" t="n">
        <v>27</v>
      </c>
      <c r="M7" s="42" t="n">
        <v>27</v>
      </c>
      <c r="N7" s="42" t="n">
        <v>54</v>
      </c>
      <c r="O7" s="42" t="n">
        <v>0</v>
      </c>
      <c r="P7" s="42" t="n">
        <v>1.08</v>
      </c>
      <c r="Q7" s="42" t="n">
        <v>731.02</v>
      </c>
      <c r="R7" s="43" t="inlineStr"/>
    </row>
    <row r="8">
      <c r="A8" s="40" t="inlineStr">
        <is>
          <t>01–05 Sep 2026</t>
        </is>
      </c>
      <c r="B8" s="40" t="inlineStr">
        <is>
          <t>247423058160259</t>
        </is>
      </c>
      <c r="C8" s="41" t="n">
        <v>46268.92196759259</v>
      </c>
      <c r="D8" s="40" t="inlineStr">
        <is>
          <t>delivered</t>
        </is>
      </c>
      <c r="E8" s="40" t="n"/>
      <c r="F8" s="40" t="inlineStr">
        <is>
          <t>24AAQFC3084Q1ZT</t>
        </is>
      </c>
      <c r="G8" s="40" t="inlineStr">
        <is>
          <t>Gujarat (24)</t>
        </is>
      </c>
      <c r="H8" s="40" t="inlineStr">
        <is>
          <t>5%</t>
        </is>
      </c>
      <c r="I8" s="42" t="n">
        <v>600</v>
      </c>
      <c r="J8" s="42" t="n">
        <v>600</v>
      </c>
      <c r="K8" s="42" t="n">
        <v>30</v>
      </c>
      <c r="L8" s="42" t="n">
        <v>15</v>
      </c>
      <c r="M8" s="42" t="n">
        <v>15</v>
      </c>
      <c r="N8" s="42" t="n">
        <v>30</v>
      </c>
      <c r="O8" s="42" t="n">
        <v>0</v>
      </c>
      <c r="P8" s="42" t="n">
        <v>0.6</v>
      </c>
      <c r="Q8" s="42" t="n">
        <v>406.12</v>
      </c>
      <c r="R8" s="43" t="inlineStr"/>
    </row>
    <row r="9">
      <c r="A9" s="40" t="inlineStr">
        <is>
          <t>01–05 Sep 2026</t>
        </is>
      </c>
      <c r="B9" s="40" t="inlineStr">
        <is>
          <t>247467129161764</t>
        </is>
      </c>
      <c r="C9" s="41" t="n">
        <v>46269.43204861111</v>
      </c>
      <c r="D9" s="40" t="inlineStr">
        <is>
          <t>delivered</t>
        </is>
      </c>
      <c r="E9" s="40" t="n"/>
      <c r="F9" s="40" t="inlineStr">
        <is>
          <t>24AAQFC3084Q1ZT</t>
        </is>
      </c>
      <c r="G9" s="40" t="inlineStr">
        <is>
          <t>Gujarat (24)</t>
        </is>
      </c>
      <c r="H9" s="40" t="inlineStr">
        <is>
          <t>5%</t>
        </is>
      </c>
      <c r="I9" s="42" t="n">
        <v>1009</v>
      </c>
      <c r="J9" s="42" t="n">
        <v>1009</v>
      </c>
      <c r="K9" s="42" t="n">
        <v>50.46</v>
      </c>
      <c r="L9" s="42" t="n">
        <v>25.23</v>
      </c>
      <c r="M9" s="42" t="n">
        <v>25.22</v>
      </c>
      <c r="N9" s="42" t="n">
        <v>50.45</v>
      </c>
      <c r="O9" s="42" t="n">
        <v>0</v>
      </c>
      <c r="P9" s="42" t="n">
        <v>1.01</v>
      </c>
      <c r="Q9" s="42" t="n">
        <v>682.95</v>
      </c>
      <c r="R9" s="43" t="inlineStr"/>
    </row>
    <row r="10">
      <c r="A10" s="40" t="inlineStr">
        <is>
          <t>01–05 Sep 2026</t>
        </is>
      </c>
      <c r="B10" s="40" t="inlineStr">
        <is>
          <t>247476603185070</t>
        </is>
      </c>
      <c r="C10" s="41" t="n">
        <v>46269.54170138889</v>
      </c>
      <c r="D10" s="40" t="inlineStr">
        <is>
          <t>delivered</t>
        </is>
      </c>
      <c r="E10" s="40" t="n"/>
      <c r="F10" s="40" t="inlineStr">
        <is>
          <t>24AAQFC3084Q1ZT</t>
        </is>
      </c>
      <c r="G10" s="40" t="inlineStr">
        <is>
          <t>Gujarat (24)</t>
        </is>
      </c>
      <c r="H10" s="40" t="inlineStr">
        <is>
          <t>5%</t>
        </is>
      </c>
      <c r="I10" s="42" t="n">
        <v>1109</v>
      </c>
      <c r="J10" s="42" t="n">
        <v>1109</v>
      </c>
      <c r="K10" s="42" t="n">
        <v>55.46</v>
      </c>
      <c r="L10" s="42" t="n">
        <v>27.73</v>
      </c>
      <c r="M10" s="42" t="n">
        <v>27.72</v>
      </c>
      <c r="N10" s="42" t="n">
        <v>55.45</v>
      </c>
      <c r="O10" s="42" t="n">
        <v>0</v>
      </c>
      <c r="P10" s="42" t="n">
        <v>1.11</v>
      </c>
      <c r="Q10" s="42" t="n">
        <v>750.63</v>
      </c>
      <c r="R10" s="43" t="inlineStr"/>
    </row>
    <row r="11">
      <c r="A11" s="40" t="inlineStr">
        <is>
          <t>01–05 Sep 2026</t>
        </is>
      </c>
      <c r="B11" s="40" t="inlineStr">
        <is>
          <t>247490997173409</t>
        </is>
      </c>
      <c r="C11" s="41" t="n">
        <v>46269.70829861111</v>
      </c>
      <c r="D11" s="40" t="inlineStr">
        <is>
          <t>delivered</t>
        </is>
      </c>
      <c r="E11" s="40" t="n"/>
      <c r="F11" s="40" t="inlineStr">
        <is>
          <t>24AAQFC3084Q1ZT</t>
        </is>
      </c>
      <c r="G11" s="40" t="inlineStr">
        <is>
          <t>Gujarat (24)</t>
        </is>
      </c>
      <c r="H11" s="40" t="inlineStr">
        <is>
          <t>5%</t>
        </is>
      </c>
      <c r="I11" s="42" t="n">
        <v>300</v>
      </c>
      <c r="J11" s="42" t="n">
        <v>300</v>
      </c>
      <c r="K11" s="42" t="n">
        <v>15</v>
      </c>
      <c r="L11" s="42" t="n">
        <v>7.5</v>
      </c>
      <c r="M11" s="42" t="n">
        <v>7.5</v>
      </c>
      <c r="N11" s="42" t="n">
        <v>15</v>
      </c>
      <c r="O11" s="42" t="n">
        <v>0</v>
      </c>
      <c r="P11" s="42" t="n">
        <v>0.3</v>
      </c>
      <c r="Q11" s="42" t="n">
        <v>203.06</v>
      </c>
      <c r="R11" s="43" t="inlineStr"/>
    </row>
    <row r="12">
      <c r="A12" s="40" t="inlineStr">
        <is>
          <t>01–05 Sep 2026</t>
        </is>
      </c>
      <c r="B12" s="40" t="inlineStr">
        <is>
          <t>247500698178250</t>
        </is>
      </c>
      <c r="C12" s="41" t="n">
        <v>46269.8205787037</v>
      </c>
      <c r="D12" s="40" t="inlineStr">
        <is>
          <t>delivered</t>
        </is>
      </c>
      <c r="E12" s="40" t="n"/>
      <c r="F12" s="40" t="inlineStr">
        <is>
          <t>24AAQFC3084Q1ZT</t>
        </is>
      </c>
      <c r="G12" s="40" t="inlineStr">
        <is>
          <t>Gujarat (24)</t>
        </is>
      </c>
      <c r="H12" s="40" t="inlineStr">
        <is>
          <t>5%</t>
        </is>
      </c>
      <c r="I12" s="42" t="n">
        <v>255</v>
      </c>
      <c r="J12" s="42" t="n">
        <v>255</v>
      </c>
      <c r="K12" s="42" t="n">
        <v>12.76</v>
      </c>
      <c r="L12" s="42" t="n">
        <v>6.38</v>
      </c>
      <c r="M12" s="42" t="n">
        <v>6.37</v>
      </c>
      <c r="N12" s="42" t="n">
        <v>12.75</v>
      </c>
      <c r="O12" s="42" t="n">
        <v>0</v>
      </c>
      <c r="P12" s="42" t="n">
        <v>0.26</v>
      </c>
      <c r="Q12" s="42" t="n">
        <v>172.6</v>
      </c>
      <c r="R12" s="43" t="inlineStr"/>
    </row>
    <row r="13">
      <c r="A13" s="40" t="inlineStr">
        <is>
          <t>01–05 Sep 2026</t>
        </is>
      </c>
      <c r="B13" s="40" t="inlineStr">
        <is>
          <t>247505941197546</t>
        </is>
      </c>
      <c r="C13" s="41" t="n">
        <v>46269.88126157408</v>
      </c>
      <c r="D13" s="40" t="inlineStr">
        <is>
          <t>delivered</t>
        </is>
      </c>
      <c r="E13" s="40" t="n"/>
      <c r="F13" s="40" t="inlineStr">
        <is>
          <t>24AAQFC3084Q1ZT</t>
        </is>
      </c>
      <c r="G13" s="40" t="inlineStr">
        <is>
          <t>Gujarat (24)</t>
        </is>
      </c>
      <c r="H13" s="40" t="inlineStr">
        <is>
          <t>5%</t>
        </is>
      </c>
      <c r="I13" s="42" t="n">
        <v>290</v>
      </c>
      <c r="J13" s="42" t="n">
        <v>290</v>
      </c>
      <c r="K13" s="42" t="n">
        <v>14.5</v>
      </c>
      <c r="L13" s="42" t="n">
        <v>7.25</v>
      </c>
      <c r="M13" s="42" t="n">
        <v>7.25</v>
      </c>
      <c r="N13" s="42" t="n">
        <v>14.5</v>
      </c>
      <c r="O13" s="42" t="n">
        <v>0</v>
      </c>
      <c r="P13" s="42" t="n">
        <v>0.29</v>
      </c>
      <c r="Q13" s="42" t="n">
        <v>196.3</v>
      </c>
      <c r="R13" s="43" t="inlineStr"/>
    </row>
    <row r="14">
      <c r="A14" s="40" t="inlineStr">
        <is>
          <t>01–05 Sep 2026</t>
        </is>
      </c>
      <c r="B14" s="40" t="inlineStr">
        <is>
          <t>247562336174172</t>
        </is>
      </c>
      <c r="C14" s="41" t="n">
        <v>46270.53398148148</v>
      </c>
      <c r="D14" s="40" t="inlineStr">
        <is>
          <t>delivered</t>
        </is>
      </c>
      <c r="E14" s="40" t="n"/>
      <c r="F14" s="40" t="inlineStr">
        <is>
          <t>24AAQFC3084Q1ZT</t>
        </is>
      </c>
      <c r="G14" s="40" t="inlineStr">
        <is>
          <t>Gujarat (24)</t>
        </is>
      </c>
      <c r="H14" s="40" t="inlineStr">
        <is>
          <t>5%</t>
        </is>
      </c>
      <c r="I14" s="42" t="n">
        <v>660</v>
      </c>
      <c r="J14" s="42" t="n">
        <v>660</v>
      </c>
      <c r="K14" s="42" t="n">
        <v>33</v>
      </c>
      <c r="L14" s="42" t="n">
        <v>16.5</v>
      </c>
      <c r="M14" s="42" t="n">
        <v>16.5</v>
      </c>
      <c r="N14" s="42" t="n">
        <v>33</v>
      </c>
      <c r="O14" s="42" t="n">
        <v>0</v>
      </c>
      <c r="P14" s="42" t="n">
        <v>0.66</v>
      </c>
      <c r="Q14" s="42" t="n">
        <v>446.74</v>
      </c>
      <c r="R14" s="43" t="inlineStr"/>
    </row>
    <row r="15">
      <c r="A15" s="44" t="inlineStr">
        <is>
          <t>01–05 Sep 2026</t>
        </is>
      </c>
      <c r="B15" s="44" t="inlineStr">
        <is>
          <t>247576408124202</t>
        </is>
      </c>
      <c r="C15" s="45" t="n">
        <v>46270.69685185186</v>
      </c>
      <c r="D15" s="44" t="inlineStr">
        <is>
          <t>cancelled</t>
        </is>
      </c>
      <c r="E15" s="44" t="inlineStr">
        <is>
          <t>SWIGGY</t>
        </is>
      </c>
      <c r="F15" s="44" t="inlineStr">
        <is>
          <t>24AAQFC3084Q1ZT</t>
        </is>
      </c>
      <c r="G15" s="44" t="inlineStr">
        <is>
          <t>Gujarat (24)</t>
        </is>
      </c>
      <c r="H15" s="44" t="inlineStr">
        <is>
          <t>5%</t>
        </is>
      </c>
      <c r="I15" s="46" t="n">
        <v>590</v>
      </c>
      <c r="J15" s="46" t="n">
        <v>472</v>
      </c>
      <c r="K15" s="46" t="n">
        <v>29.5</v>
      </c>
      <c r="L15" s="46" t="n">
        <v>11.8</v>
      </c>
      <c r="M15" s="46" t="n">
        <v>11.8</v>
      </c>
      <c r="N15" s="46" t="n">
        <v>23.6</v>
      </c>
      <c r="O15" s="46" t="n">
        <v>0</v>
      </c>
      <c r="P15" s="46" t="n">
        <v>0.47</v>
      </c>
      <c r="Q15" s="46" t="n">
        <v>319.49</v>
      </c>
      <c r="R15" s="47" t="inlineStr">
        <is>
          <t>Cancelled by SWIGGY — GST retained is ₹0.00 lower than GST collected</t>
        </is>
      </c>
    </row>
    <row r="16">
      <c r="A16" s="40" t="inlineStr">
        <is>
          <t>01–05 Sep 2026</t>
        </is>
      </c>
      <c r="B16" s="40" t="inlineStr">
        <is>
          <t>247582530147494</t>
        </is>
      </c>
      <c r="C16" s="41" t="n">
        <v>46270.76770833333</v>
      </c>
      <c r="D16" s="40" t="inlineStr">
        <is>
          <t>delivered</t>
        </is>
      </c>
      <c r="E16" s="40" t="n"/>
      <c r="F16" s="40" t="inlineStr">
        <is>
          <t>24AAQFC3084Q1ZT</t>
        </is>
      </c>
      <c r="G16" s="40" t="inlineStr">
        <is>
          <t>Gujarat (24)</t>
        </is>
      </c>
      <c r="H16" s="40" t="inlineStr">
        <is>
          <t>5%</t>
        </is>
      </c>
      <c r="I16" s="42" t="n">
        <v>720</v>
      </c>
      <c r="J16" s="42" t="n">
        <v>720</v>
      </c>
      <c r="K16" s="42" t="n">
        <v>36</v>
      </c>
      <c r="L16" s="42" t="n">
        <v>18</v>
      </c>
      <c r="M16" s="42" t="n">
        <v>18</v>
      </c>
      <c r="N16" s="42" t="n">
        <v>36</v>
      </c>
      <c r="O16" s="42" t="n">
        <v>0</v>
      </c>
      <c r="P16" s="42" t="n">
        <v>0.72</v>
      </c>
      <c r="Q16" s="42" t="n">
        <v>487.34</v>
      </c>
      <c r="R16" s="43" t="inlineStr"/>
    </row>
    <row r="17">
      <c r="A17" s="40" t="inlineStr">
        <is>
          <t>01–05 Sep 2026</t>
        </is>
      </c>
      <c r="B17" s="40" t="inlineStr">
        <is>
          <t>247583830189213</t>
        </is>
      </c>
      <c r="C17" s="41" t="n">
        <v>46270.78275462963</v>
      </c>
      <c r="D17" s="40" t="inlineStr">
        <is>
          <t>delivered</t>
        </is>
      </c>
      <c r="E17" s="40" t="n"/>
      <c r="F17" s="40" t="inlineStr">
        <is>
          <t>24AAQFC3084Q1ZT</t>
        </is>
      </c>
      <c r="G17" s="40" t="inlineStr">
        <is>
          <t>Gujarat (24)</t>
        </is>
      </c>
      <c r="H17" s="40" t="inlineStr">
        <is>
          <t>5%</t>
        </is>
      </c>
      <c r="I17" s="42" t="n">
        <v>290</v>
      </c>
      <c r="J17" s="42" t="n">
        <v>290</v>
      </c>
      <c r="K17" s="42" t="n">
        <v>14.5</v>
      </c>
      <c r="L17" s="42" t="n">
        <v>7.25</v>
      </c>
      <c r="M17" s="42" t="n">
        <v>7.25</v>
      </c>
      <c r="N17" s="42" t="n">
        <v>14.5</v>
      </c>
      <c r="O17" s="42" t="n">
        <v>0</v>
      </c>
      <c r="P17" s="42" t="n">
        <v>0.29</v>
      </c>
      <c r="Q17" s="42" t="n">
        <v>196.3</v>
      </c>
      <c r="R17" s="43" t="inlineStr"/>
    </row>
    <row r="18">
      <c r="A18" s="40" t="inlineStr">
        <is>
          <t>01–05 Sep 2026</t>
        </is>
      </c>
      <c r="B18" s="40" t="inlineStr">
        <is>
          <t>247584158190137</t>
        </is>
      </c>
      <c r="C18" s="41" t="n">
        <v>46270.78655092593</v>
      </c>
      <c r="D18" s="40" t="inlineStr">
        <is>
          <t>delivered</t>
        </is>
      </c>
      <c r="E18" s="40" t="n"/>
      <c r="F18" s="40" t="inlineStr">
        <is>
          <t>24AAQFC3084Q1ZT</t>
        </is>
      </c>
      <c r="G18" s="40" t="inlineStr">
        <is>
          <t>Gujarat (24)</t>
        </is>
      </c>
      <c r="H18" s="40" t="inlineStr">
        <is>
          <t>5%</t>
        </is>
      </c>
      <c r="I18" s="42" t="n">
        <v>270</v>
      </c>
      <c r="J18" s="42" t="n">
        <v>270</v>
      </c>
      <c r="K18" s="42" t="n">
        <v>13.5</v>
      </c>
      <c r="L18" s="42" t="n">
        <v>6.75</v>
      </c>
      <c r="M18" s="42" t="n">
        <v>6.75</v>
      </c>
      <c r="N18" s="42" t="n">
        <v>13.5</v>
      </c>
      <c r="O18" s="42" t="n">
        <v>0</v>
      </c>
      <c r="P18" s="42" t="n">
        <v>0.27</v>
      </c>
      <c r="Q18" s="42" t="n">
        <v>182.74</v>
      </c>
      <c r="R18" s="43" t="inlineStr"/>
    </row>
    <row r="19">
      <c r="A19" s="40" t="inlineStr">
        <is>
          <t>01–05 Sep 2026</t>
        </is>
      </c>
      <c r="B19" s="40" t="inlineStr">
        <is>
          <t>247590276173308</t>
        </is>
      </c>
      <c r="C19" s="41" t="n">
        <v>46270.85736111111</v>
      </c>
      <c r="D19" s="40" t="inlineStr">
        <is>
          <t>delivered</t>
        </is>
      </c>
      <c r="E19" s="40" t="n"/>
      <c r="F19" s="40" t="inlineStr">
        <is>
          <t>24AAQFC3084Q1ZT</t>
        </is>
      </c>
      <c r="G19" s="40" t="inlineStr">
        <is>
          <t>Gujarat (24)</t>
        </is>
      </c>
      <c r="H19" s="40" t="inlineStr">
        <is>
          <t>5%</t>
        </is>
      </c>
      <c r="I19" s="42" t="n">
        <v>330</v>
      </c>
      <c r="J19" s="42" t="n">
        <v>330</v>
      </c>
      <c r="K19" s="42" t="n">
        <v>16.5</v>
      </c>
      <c r="L19" s="42" t="n">
        <v>8.25</v>
      </c>
      <c r="M19" s="42" t="n">
        <v>8.25</v>
      </c>
      <c r="N19" s="42" t="n">
        <v>16.5</v>
      </c>
      <c r="O19" s="42" t="n">
        <v>0</v>
      </c>
      <c r="P19" s="42" t="n">
        <v>0.33</v>
      </c>
      <c r="Q19" s="42" t="n">
        <v>223.36</v>
      </c>
      <c r="R19" s="43" t="inlineStr"/>
    </row>
    <row r="20">
      <c r="A20" s="40" t="inlineStr">
        <is>
          <t>01–05 Sep 2026</t>
        </is>
      </c>
      <c r="B20" s="40" t="inlineStr">
        <is>
          <t>247590423179878</t>
        </is>
      </c>
      <c r="C20" s="41" t="n">
        <v>46270.8590625</v>
      </c>
      <c r="D20" s="40" t="inlineStr">
        <is>
          <t>delivered</t>
        </is>
      </c>
      <c r="E20" s="40" t="n"/>
      <c r="F20" s="40" t="inlineStr">
        <is>
          <t>24AAQFC3084Q1ZT</t>
        </is>
      </c>
      <c r="G20" s="40" t="inlineStr">
        <is>
          <t>Gujarat (24)</t>
        </is>
      </c>
      <c r="H20" s="40" t="inlineStr">
        <is>
          <t>5%</t>
        </is>
      </c>
      <c r="I20" s="42" t="n">
        <v>900</v>
      </c>
      <c r="J20" s="42" t="n">
        <v>900</v>
      </c>
      <c r="K20" s="42" t="n">
        <v>45</v>
      </c>
      <c r="L20" s="42" t="n">
        <v>22.5</v>
      </c>
      <c r="M20" s="42" t="n">
        <v>22.5</v>
      </c>
      <c r="N20" s="42" t="n">
        <v>45</v>
      </c>
      <c r="O20" s="42" t="n">
        <v>0</v>
      </c>
      <c r="P20" s="42" t="n">
        <v>0.9</v>
      </c>
      <c r="Q20" s="42" t="n">
        <v>609.16</v>
      </c>
      <c r="R20" s="43" t="inlineStr"/>
    </row>
    <row r="21">
      <c r="A21" s="48" t="inlineStr">
        <is>
          <t>06–12 Sep 2026</t>
        </is>
      </c>
      <c r="B21" s="48" t="inlineStr">
        <is>
          <t>247653274135811</t>
        </is>
      </c>
      <c r="C21" s="49" t="n">
        <v>46271.58650462963</v>
      </c>
      <c r="D21" s="48" t="inlineStr">
        <is>
          <t>delivered</t>
        </is>
      </c>
      <c r="E21" s="48" t="n"/>
      <c r="F21" s="48" t="inlineStr">
        <is>
          <t>24AAQFC3084Q1ZT</t>
        </is>
      </c>
      <c r="G21" s="48" t="inlineStr">
        <is>
          <t>Gujarat (24)</t>
        </is>
      </c>
      <c r="H21" s="48" t="inlineStr">
        <is>
          <t>5%</t>
        </is>
      </c>
      <c r="I21" s="50" t="n">
        <v>600</v>
      </c>
      <c r="J21" s="50" t="n">
        <v>600</v>
      </c>
      <c r="K21" s="50" t="n">
        <v>30</v>
      </c>
      <c r="L21" s="50" t="n">
        <v>15</v>
      </c>
      <c r="M21" s="50" t="n">
        <v>15</v>
      </c>
      <c r="N21" s="50" t="n">
        <v>30</v>
      </c>
      <c r="O21" s="50" t="n">
        <v>0</v>
      </c>
      <c r="P21" s="50" t="n">
        <v>0.6</v>
      </c>
      <c r="Q21" s="50" t="n">
        <v>406.12</v>
      </c>
      <c r="R21" s="51" t="inlineStr"/>
    </row>
    <row r="22">
      <c r="A22" s="48" t="inlineStr">
        <is>
          <t>06–12 Sep 2026</t>
        </is>
      </c>
      <c r="B22" s="48" t="inlineStr">
        <is>
          <t>247668517120241</t>
        </is>
      </c>
      <c r="C22" s="49" t="n">
        <v>46271.76292824074</v>
      </c>
      <c r="D22" s="48" t="inlineStr">
        <is>
          <t>delivered</t>
        </is>
      </c>
      <c r="E22" s="48" t="n"/>
      <c r="F22" s="48" t="inlineStr">
        <is>
          <t>24AAQFC3084Q1ZT</t>
        </is>
      </c>
      <c r="G22" s="48" t="inlineStr">
        <is>
          <t>Gujarat (24)</t>
        </is>
      </c>
      <c r="H22" s="48" t="inlineStr">
        <is>
          <t>5%</t>
        </is>
      </c>
      <c r="I22" s="50" t="n">
        <v>670</v>
      </c>
      <c r="J22" s="50" t="n">
        <v>670</v>
      </c>
      <c r="K22" s="50" t="n">
        <v>33.5</v>
      </c>
      <c r="L22" s="50" t="n">
        <v>16.75</v>
      </c>
      <c r="M22" s="50" t="n">
        <v>16.75</v>
      </c>
      <c r="N22" s="50" t="n">
        <v>33.5</v>
      </c>
      <c r="O22" s="50" t="n">
        <v>0</v>
      </c>
      <c r="P22" s="50" t="n">
        <v>0.67</v>
      </c>
      <c r="Q22" s="50" t="n">
        <v>453.5</v>
      </c>
      <c r="R22" s="51" t="inlineStr"/>
    </row>
    <row r="23">
      <c r="A23" s="48" t="inlineStr">
        <is>
          <t>06–12 Sep 2026</t>
        </is>
      </c>
      <c r="B23" s="48" t="inlineStr">
        <is>
          <t>247674582127158</t>
        </is>
      </c>
      <c r="C23" s="49" t="n">
        <v>46271.833125</v>
      </c>
      <c r="D23" s="48" t="inlineStr">
        <is>
          <t>delivered</t>
        </is>
      </c>
      <c r="E23" s="48" t="n"/>
      <c r="F23" s="48" t="inlineStr">
        <is>
          <t>24AAQFC3084Q1ZT</t>
        </is>
      </c>
      <c r="G23" s="48" t="inlineStr">
        <is>
          <t>Gujarat (24)</t>
        </is>
      </c>
      <c r="H23" s="48" t="inlineStr">
        <is>
          <t>5%</t>
        </is>
      </c>
      <c r="I23" s="50" t="n">
        <v>310</v>
      </c>
      <c r="J23" s="50" t="n">
        <v>310</v>
      </c>
      <c r="K23" s="50" t="n">
        <v>15.5</v>
      </c>
      <c r="L23" s="50" t="n">
        <v>7.75</v>
      </c>
      <c r="M23" s="50" t="n">
        <v>7.75</v>
      </c>
      <c r="N23" s="50" t="n">
        <v>15.5</v>
      </c>
      <c r="O23" s="50" t="n">
        <v>0</v>
      </c>
      <c r="P23" s="50" t="n">
        <v>0.31</v>
      </c>
      <c r="Q23" s="50" t="n">
        <v>209.84</v>
      </c>
      <c r="R23" s="51" t="inlineStr"/>
    </row>
    <row r="24">
      <c r="A24" s="48" t="inlineStr">
        <is>
          <t>06–12 Sep 2026</t>
        </is>
      </c>
      <c r="B24" s="48" t="inlineStr">
        <is>
          <t>247683573170717</t>
        </is>
      </c>
      <c r="C24" s="49" t="n">
        <v>46271.9371875</v>
      </c>
      <c r="D24" s="48" t="inlineStr">
        <is>
          <t>delivered</t>
        </is>
      </c>
      <c r="E24" s="48" t="n"/>
      <c r="F24" s="48" t="inlineStr">
        <is>
          <t>24AAQFC3084Q1ZT</t>
        </is>
      </c>
      <c r="G24" s="48" t="inlineStr">
        <is>
          <t>Gujarat (24)</t>
        </is>
      </c>
      <c r="H24" s="48" t="inlineStr">
        <is>
          <t>5%</t>
        </is>
      </c>
      <c r="I24" s="50" t="n">
        <v>565</v>
      </c>
      <c r="J24" s="50" t="n">
        <v>565</v>
      </c>
      <c r="K24" s="50" t="n">
        <v>28.26</v>
      </c>
      <c r="L24" s="50" t="n">
        <v>14.12</v>
      </c>
      <c r="M24" s="50" t="n">
        <v>14.13</v>
      </c>
      <c r="N24" s="50" t="n">
        <v>28.25</v>
      </c>
      <c r="O24" s="50" t="n">
        <v>0</v>
      </c>
      <c r="P24" s="50" t="n">
        <v>0.57</v>
      </c>
      <c r="Q24" s="50" t="n">
        <v>382.43</v>
      </c>
      <c r="R24" s="51" t="inlineStr"/>
    </row>
    <row r="25">
      <c r="A25" s="48" t="inlineStr">
        <is>
          <t>06–12 Sep 2026</t>
        </is>
      </c>
      <c r="B25" s="48" t="inlineStr">
        <is>
          <t>247752547197193</t>
        </is>
      </c>
      <c r="C25" s="49" t="n">
        <v>46272.73549768519</v>
      </c>
      <c r="D25" s="48" t="inlineStr">
        <is>
          <t>delivered</t>
        </is>
      </c>
      <c r="E25" s="48" t="n"/>
      <c r="F25" s="48" t="inlineStr">
        <is>
          <t>24AAQFC3084Q1ZT</t>
        </is>
      </c>
      <c r="G25" s="48" t="inlineStr">
        <is>
          <t>Gujarat (24)</t>
        </is>
      </c>
      <c r="H25" s="48" t="inlineStr">
        <is>
          <t>5%</t>
        </is>
      </c>
      <c r="I25" s="50" t="n">
        <v>630</v>
      </c>
      <c r="J25" s="50" t="n">
        <v>630</v>
      </c>
      <c r="K25" s="50" t="n">
        <v>31.5</v>
      </c>
      <c r="L25" s="50" t="n">
        <v>15.75</v>
      </c>
      <c r="M25" s="50" t="n">
        <v>15.75</v>
      </c>
      <c r="N25" s="50" t="n">
        <v>31.5</v>
      </c>
      <c r="O25" s="50" t="n">
        <v>0</v>
      </c>
      <c r="P25" s="50" t="n">
        <v>0.63</v>
      </c>
      <c r="Q25" s="50" t="n">
        <v>426.42</v>
      </c>
      <c r="R25" s="51" t="inlineStr"/>
    </row>
    <row r="26">
      <c r="A26" s="48" t="inlineStr">
        <is>
          <t>06–12 Sep 2026</t>
        </is>
      </c>
      <c r="B26" s="48" t="inlineStr">
        <is>
          <t>247765465110530</t>
        </is>
      </c>
      <c r="C26" s="49" t="n">
        <v>46272.88501157407</v>
      </c>
      <c r="D26" s="48" t="inlineStr">
        <is>
          <t>delivered</t>
        </is>
      </c>
      <c r="E26" s="48" t="n"/>
      <c r="F26" s="48" t="inlineStr">
        <is>
          <t>24AAQFC3084Q1ZT</t>
        </is>
      </c>
      <c r="G26" s="48" t="inlineStr">
        <is>
          <t>Gujarat (24)</t>
        </is>
      </c>
      <c r="H26" s="48" t="inlineStr">
        <is>
          <t>5%</t>
        </is>
      </c>
      <c r="I26" s="50" t="n">
        <v>270</v>
      </c>
      <c r="J26" s="50" t="n">
        <v>270</v>
      </c>
      <c r="K26" s="50" t="n">
        <v>13.5</v>
      </c>
      <c r="L26" s="50" t="n">
        <v>6.75</v>
      </c>
      <c r="M26" s="50" t="n">
        <v>6.75</v>
      </c>
      <c r="N26" s="50" t="n">
        <v>13.5</v>
      </c>
      <c r="O26" s="50" t="n">
        <v>0</v>
      </c>
      <c r="P26" s="50" t="n">
        <v>0.27</v>
      </c>
      <c r="Q26" s="50" t="n">
        <v>182.74</v>
      </c>
      <c r="R26" s="51" t="inlineStr"/>
    </row>
    <row r="27">
      <c r="A27" s="48" t="inlineStr">
        <is>
          <t>06–12 Sep 2026</t>
        </is>
      </c>
      <c r="B27" s="48" t="inlineStr">
        <is>
          <t>247765875191830</t>
        </is>
      </c>
      <c r="C27" s="49" t="n">
        <v>46272.88975694445</v>
      </c>
      <c r="D27" s="48" t="inlineStr">
        <is>
          <t>delivered</t>
        </is>
      </c>
      <c r="E27" s="48" t="n"/>
      <c r="F27" s="48" t="inlineStr">
        <is>
          <t>24AAQFC3084Q1ZT</t>
        </is>
      </c>
      <c r="G27" s="48" t="inlineStr">
        <is>
          <t>Gujarat (24)</t>
        </is>
      </c>
      <c r="H27" s="48" t="inlineStr">
        <is>
          <t>5%</t>
        </is>
      </c>
      <c r="I27" s="50" t="n">
        <v>310</v>
      </c>
      <c r="J27" s="50" t="n">
        <v>310</v>
      </c>
      <c r="K27" s="50" t="n">
        <v>15.5</v>
      </c>
      <c r="L27" s="50" t="n">
        <v>7.75</v>
      </c>
      <c r="M27" s="50" t="n">
        <v>7.75</v>
      </c>
      <c r="N27" s="50" t="n">
        <v>15.5</v>
      </c>
      <c r="O27" s="50" t="n">
        <v>0</v>
      </c>
      <c r="P27" s="50" t="n">
        <v>0.31</v>
      </c>
      <c r="Q27" s="50" t="n">
        <v>209.84</v>
      </c>
      <c r="R27" s="51" t="inlineStr"/>
    </row>
    <row r="28">
      <c r="A28" s="48" t="inlineStr">
        <is>
          <t>06–12 Sep 2026</t>
        </is>
      </c>
      <c r="B28" s="48" t="inlineStr">
        <is>
          <t>247767149191066</t>
        </is>
      </c>
      <c r="C28" s="49" t="n">
        <v>46272.90450231481</v>
      </c>
      <c r="D28" s="48" t="inlineStr">
        <is>
          <t>delivered</t>
        </is>
      </c>
      <c r="E28" s="48" t="n"/>
      <c r="F28" s="48" t="inlineStr">
        <is>
          <t>24AAQFC3084Q1ZT</t>
        </is>
      </c>
      <c r="G28" s="48" t="inlineStr">
        <is>
          <t>Gujarat (24)</t>
        </is>
      </c>
      <c r="H28" s="48" t="inlineStr">
        <is>
          <t>5%</t>
        </is>
      </c>
      <c r="I28" s="50" t="n">
        <v>370</v>
      </c>
      <c r="J28" s="50" t="n">
        <v>370</v>
      </c>
      <c r="K28" s="50" t="n">
        <v>18.5</v>
      </c>
      <c r="L28" s="50" t="n">
        <v>9.25</v>
      </c>
      <c r="M28" s="50" t="n">
        <v>9.25</v>
      </c>
      <c r="N28" s="50" t="n">
        <v>18.5</v>
      </c>
      <c r="O28" s="50" t="n">
        <v>0</v>
      </c>
      <c r="P28" s="50" t="n">
        <v>0.37</v>
      </c>
      <c r="Q28" s="50" t="n">
        <v>250.44</v>
      </c>
      <c r="R28" s="51" t="inlineStr"/>
    </row>
    <row r="29">
      <c r="A29" s="48" t="inlineStr">
        <is>
          <t>06–12 Sep 2026</t>
        </is>
      </c>
      <c r="B29" s="48" t="inlineStr">
        <is>
          <t>247833210169323</t>
        </is>
      </c>
      <c r="C29" s="49" t="n">
        <v>46273.66909722222</v>
      </c>
      <c r="D29" s="48" t="inlineStr">
        <is>
          <t>delivered</t>
        </is>
      </c>
      <c r="E29" s="48" t="n"/>
      <c r="F29" s="48" t="inlineStr">
        <is>
          <t>24AAQFC3084Q1ZT</t>
        </is>
      </c>
      <c r="G29" s="48" t="inlineStr">
        <is>
          <t>Gujarat (24)</t>
        </is>
      </c>
      <c r="H29" s="48" t="inlineStr">
        <is>
          <t>5%</t>
        </is>
      </c>
      <c r="I29" s="50" t="n">
        <v>255</v>
      </c>
      <c r="J29" s="50" t="n">
        <v>255</v>
      </c>
      <c r="K29" s="50" t="n">
        <v>12.76</v>
      </c>
      <c r="L29" s="50" t="n">
        <v>6.38</v>
      </c>
      <c r="M29" s="50" t="n">
        <v>6.37</v>
      </c>
      <c r="N29" s="50" t="n">
        <v>12.75</v>
      </c>
      <c r="O29" s="50" t="n">
        <v>0</v>
      </c>
      <c r="P29" s="50" t="n">
        <v>0.26</v>
      </c>
      <c r="Q29" s="50" t="n">
        <v>172.6</v>
      </c>
      <c r="R29" s="51" t="inlineStr"/>
    </row>
    <row r="30">
      <c r="A30" s="48" t="inlineStr">
        <is>
          <t>06–12 Sep 2026</t>
        </is>
      </c>
      <c r="B30" s="48" t="inlineStr">
        <is>
          <t>247838264152884</t>
        </is>
      </c>
      <c r="C30" s="49" t="n">
        <v>46273.72759259259</v>
      </c>
      <c r="D30" s="48" t="inlineStr">
        <is>
          <t>delivered</t>
        </is>
      </c>
      <c r="E30" s="48" t="n"/>
      <c r="F30" s="48" t="inlineStr">
        <is>
          <t>24AAQFC3084Q1ZT</t>
        </is>
      </c>
      <c r="G30" s="48" t="inlineStr">
        <is>
          <t>Gujarat (24)</t>
        </is>
      </c>
      <c r="H30" s="48" t="inlineStr">
        <is>
          <t>5%</t>
        </is>
      </c>
      <c r="I30" s="50" t="n">
        <v>270</v>
      </c>
      <c r="J30" s="50" t="n">
        <v>270</v>
      </c>
      <c r="K30" s="50" t="n">
        <v>13.5</v>
      </c>
      <c r="L30" s="50" t="n">
        <v>6.75</v>
      </c>
      <c r="M30" s="50" t="n">
        <v>6.75</v>
      </c>
      <c r="N30" s="50" t="n">
        <v>13.5</v>
      </c>
      <c r="O30" s="50" t="n">
        <v>0</v>
      </c>
      <c r="P30" s="50" t="n">
        <v>0.27</v>
      </c>
      <c r="Q30" s="50" t="n">
        <v>182.74</v>
      </c>
      <c r="R30" s="51" t="inlineStr"/>
    </row>
    <row r="31">
      <c r="A31" s="48" t="inlineStr">
        <is>
          <t>06–12 Sep 2026</t>
        </is>
      </c>
      <c r="B31" s="48" t="inlineStr">
        <is>
          <t>247852755180183</t>
        </is>
      </c>
      <c r="C31" s="49" t="n">
        <v>46273.8953125</v>
      </c>
      <c r="D31" s="48" t="inlineStr">
        <is>
          <t>delivered</t>
        </is>
      </c>
      <c r="E31" s="48" t="n"/>
      <c r="F31" s="48" t="inlineStr">
        <is>
          <t>24AAQFC3084Q1ZT</t>
        </is>
      </c>
      <c r="G31" s="48" t="inlineStr">
        <is>
          <t>Gujarat (24)</t>
        </is>
      </c>
      <c r="H31" s="48" t="inlineStr">
        <is>
          <t>5%</t>
        </is>
      </c>
      <c r="I31" s="50" t="n">
        <v>300</v>
      </c>
      <c r="J31" s="50" t="n">
        <v>300</v>
      </c>
      <c r="K31" s="50" t="n">
        <v>15</v>
      </c>
      <c r="L31" s="50" t="n">
        <v>7.5</v>
      </c>
      <c r="M31" s="50" t="n">
        <v>7.5</v>
      </c>
      <c r="N31" s="50" t="n">
        <v>15</v>
      </c>
      <c r="O31" s="50" t="n">
        <v>0</v>
      </c>
      <c r="P31" s="50" t="n">
        <v>0.3</v>
      </c>
      <c r="Q31" s="50" t="n">
        <v>203.06</v>
      </c>
      <c r="R31" s="51" t="inlineStr"/>
    </row>
    <row r="32">
      <c r="A32" s="48" t="inlineStr">
        <is>
          <t>06–12 Sep 2026</t>
        </is>
      </c>
      <c r="B32" s="48" t="inlineStr">
        <is>
          <t>247935737106454</t>
        </is>
      </c>
      <c r="C32" s="49" t="n">
        <v>46274.85575231481</v>
      </c>
      <c r="D32" s="48" t="inlineStr">
        <is>
          <t>delivered</t>
        </is>
      </c>
      <c r="E32" s="48" t="n"/>
      <c r="F32" s="48" t="inlineStr">
        <is>
          <t>24AAQFC3084Q1ZT</t>
        </is>
      </c>
      <c r="G32" s="48" t="inlineStr">
        <is>
          <t>Gujarat (24)</t>
        </is>
      </c>
      <c r="H32" s="48" t="inlineStr">
        <is>
          <t>5%</t>
        </is>
      </c>
      <c r="I32" s="50" t="n">
        <v>340</v>
      </c>
      <c r="J32" s="50" t="n">
        <v>340</v>
      </c>
      <c r="K32" s="50" t="n">
        <v>17</v>
      </c>
      <c r="L32" s="50" t="n">
        <v>8.5</v>
      </c>
      <c r="M32" s="50" t="n">
        <v>8.5</v>
      </c>
      <c r="N32" s="50" t="n">
        <v>17</v>
      </c>
      <c r="O32" s="50" t="n">
        <v>0</v>
      </c>
      <c r="P32" s="50" t="n">
        <v>0.34</v>
      </c>
      <c r="Q32" s="50" t="n">
        <v>230.12</v>
      </c>
      <c r="R32" s="51" t="inlineStr"/>
    </row>
    <row r="33">
      <c r="A33" s="48" t="inlineStr">
        <is>
          <t>06–12 Sep 2026</t>
        </is>
      </c>
      <c r="B33" s="48" t="inlineStr">
        <is>
          <t>247939369143332</t>
        </is>
      </c>
      <c r="C33" s="49" t="n">
        <v>46274.89778935185</v>
      </c>
      <c r="D33" s="48" t="inlineStr">
        <is>
          <t>delivered</t>
        </is>
      </c>
      <c r="E33" s="48" t="n"/>
      <c r="F33" s="48" t="inlineStr">
        <is>
          <t>24AAQFC3084Q1ZT</t>
        </is>
      </c>
      <c r="G33" s="48" t="inlineStr">
        <is>
          <t>Gujarat (24)</t>
        </is>
      </c>
      <c r="H33" s="48" t="inlineStr">
        <is>
          <t>5%</t>
        </is>
      </c>
      <c r="I33" s="50" t="n">
        <v>300</v>
      </c>
      <c r="J33" s="50" t="n">
        <v>300</v>
      </c>
      <c r="K33" s="50" t="n">
        <v>15</v>
      </c>
      <c r="L33" s="50" t="n">
        <v>7.5</v>
      </c>
      <c r="M33" s="50" t="n">
        <v>7.5</v>
      </c>
      <c r="N33" s="50" t="n">
        <v>15</v>
      </c>
      <c r="O33" s="50" t="n">
        <v>0</v>
      </c>
      <c r="P33" s="50" t="n">
        <v>0.3</v>
      </c>
      <c r="Q33" s="50" t="n">
        <v>203.06</v>
      </c>
      <c r="R33" s="51" t="inlineStr"/>
    </row>
    <row r="34">
      <c r="A34" s="48" t="inlineStr">
        <is>
          <t>06–12 Sep 2026</t>
        </is>
      </c>
      <c r="B34" s="48" t="inlineStr">
        <is>
          <t>248020089132332</t>
        </is>
      </c>
      <c r="C34" s="49" t="n">
        <v>46275.83204861111</v>
      </c>
      <c r="D34" s="48" t="inlineStr">
        <is>
          <t>delivered</t>
        </is>
      </c>
      <c r="E34" s="48" t="n"/>
      <c r="F34" s="48" t="inlineStr">
        <is>
          <t>24AAQFC3084Q1ZT</t>
        </is>
      </c>
      <c r="G34" s="48" t="inlineStr">
        <is>
          <t>Gujarat (24)</t>
        </is>
      </c>
      <c r="H34" s="48" t="inlineStr">
        <is>
          <t>5%</t>
        </is>
      </c>
      <c r="I34" s="50" t="n">
        <v>340</v>
      </c>
      <c r="J34" s="50" t="n">
        <v>340</v>
      </c>
      <c r="K34" s="50" t="n">
        <v>17</v>
      </c>
      <c r="L34" s="50" t="n">
        <v>8.5</v>
      </c>
      <c r="M34" s="50" t="n">
        <v>8.5</v>
      </c>
      <c r="N34" s="50" t="n">
        <v>17</v>
      </c>
      <c r="O34" s="50" t="n">
        <v>0</v>
      </c>
      <c r="P34" s="50" t="n">
        <v>0.34</v>
      </c>
      <c r="Q34" s="50" t="n">
        <v>230.12</v>
      </c>
      <c r="R34" s="51" t="inlineStr"/>
    </row>
    <row r="35">
      <c r="A35" s="48" t="inlineStr">
        <is>
          <t>06–12 Sep 2026</t>
        </is>
      </c>
      <c r="B35" s="48" t="inlineStr">
        <is>
          <t>248021228170759</t>
        </is>
      </c>
      <c r="C35" s="49" t="n">
        <v>46275.84523148148</v>
      </c>
      <c r="D35" s="48" t="inlineStr">
        <is>
          <t>delivered</t>
        </is>
      </c>
      <c r="E35" s="48" t="n"/>
      <c r="F35" s="48" t="inlineStr">
        <is>
          <t>24AAQFC3084Q1ZT</t>
        </is>
      </c>
      <c r="G35" s="48" t="inlineStr">
        <is>
          <t>Gujarat (24)</t>
        </is>
      </c>
      <c r="H35" s="48" t="inlineStr">
        <is>
          <t>5%</t>
        </is>
      </c>
      <c r="I35" s="50" t="n">
        <v>670</v>
      </c>
      <c r="J35" s="50" t="n">
        <v>670</v>
      </c>
      <c r="K35" s="50" t="n">
        <v>33.5</v>
      </c>
      <c r="L35" s="50" t="n">
        <v>16.75</v>
      </c>
      <c r="M35" s="50" t="n">
        <v>16.75</v>
      </c>
      <c r="N35" s="50" t="n">
        <v>33.5</v>
      </c>
      <c r="O35" s="50" t="n">
        <v>0</v>
      </c>
      <c r="P35" s="50" t="n">
        <v>0.67</v>
      </c>
      <c r="Q35" s="50" t="n">
        <v>453.5</v>
      </c>
      <c r="R35" s="51" t="inlineStr"/>
    </row>
    <row r="36">
      <c r="A36" s="48" t="inlineStr">
        <is>
          <t>06–12 Sep 2026</t>
        </is>
      </c>
      <c r="B36" s="48" t="inlineStr">
        <is>
          <t>248027102135656</t>
        </is>
      </c>
      <c r="C36" s="49" t="n">
        <v>46275.91321759259</v>
      </c>
      <c r="D36" s="48" t="inlineStr">
        <is>
          <t>delivered</t>
        </is>
      </c>
      <c r="E36" s="48" t="n"/>
      <c r="F36" s="48" t="inlineStr">
        <is>
          <t>24AAQFC3084Q1ZT</t>
        </is>
      </c>
      <c r="G36" s="48" t="inlineStr">
        <is>
          <t>Gujarat (24)</t>
        </is>
      </c>
      <c r="H36" s="48" t="inlineStr">
        <is>
          <t>5%</t>
        </is>
      </c>
      <c r="I36" s="50" t="n">
        <v>300</v>
      </c>
      <c r="J36" s="50" t="n">
        <v>300</v>
      </c>
      <c r="K36" s="50" t="n">
        <v>15</v>
      </c>
      <c r="L36" s="50" t="n">
        <v>7.5</v>
      </c>
      <c r="M36" s="50" t="n">
        <v>7.5</v>
      </c>
      <c r="N36" s="50" t="n">
        <v>15</v>
      </c>
      <c r="O36" s="50" t="n">
        <v>0</v>
      </c>
      <c r="P36" s="50" t="n">
        <v>0.3</v>
      </c>
      <c r="Q36" s="50" t="n">
        <v>203.06</v>
      </c>
      <c r="R36" s="51" t="inlineStr"/>
    </row>
    <row r="37">
      <c r="A37" s="48" t="inlineStr">
        <is>
          <t>06–12 Sep 2026</t>
        </is>
      </c>
      <c r="B37" s="48" t="inlineStr">
        <is>
          <t>248091242191535</t>
        </is>
      </c>
      <c r="C37" s="49" t="n">
        <v>46276.65557870371</v>
      </c>
      <c r="D37" s="48" t="inlineStr">
        <is>
          <t>delivered</t>
        </is>
      </c>
      <c r="E37" s="48" t="n"/>
      <c r="F37" s="48" t="inlineStr">
        <is>
          <t>24AAQFC3084Q1ZT</t>
        </is>
      </c>
      <c r="G37" s="48" t="inlineStr">
        <is>
          <t>Gujarat (24)</t>
        </is>
      </c>
      <c r="H37" s="48" t="inlineStr">
        <is>
          <t>5%</t>
        </is>
      </c>
      <c r="I37" s="50" t="n">
        <v>330</v>
      </c>
      <c r="J37" s="50" t="n">
        <v>330</v>
      </c>
      <c r="K37" s="50" t="n">
        <v>16.5</v>
      </c>
      <c r="L37" s="50" t="n">
        <v>8.25</v>
      </c>
      <c r="M37" s="50" t="n">
        <v>8.25</v>
      </c>
      <c r="N37" s="50" t="n">
        <v>16.5</v>
      </c>
      <c r="O37" s="50" t="n">
        <v>0</v>
      </c>
      <c r="P37" s="50" t="n">
        <v>0.33</v>
      </c>
      <c r="Q37" s="50" t="n">
        <v>223.36</v>
      </c>
      <c r="R37" s="51" t="inlineStr"/>
    </row>
    <row r="38">
      <c r="A38" s="48" t="inlineStr">
        <is>
          <t>06–12 Sep 2026</t>
        </is>
      </c>
      <c r="B38" s="48" t="inlineStr">
        <is>
          <t>248091472147055</t>
        </is>
      </c>
      <c r="C38" s="49" t="n">
        <v>46276.65824074074</v>
      </c>
      <c r="D38" s="48" t="inlineStr">
        <is>
          <t>delivered</t>
        </is>
      </c>
      <c r="E38" s="48" t="n"/>
      <c r="F38" s="48" t="inlineStr">
        <is>
          <t>24AAQFC3084Q1ZT</t>
        </is>
      </c>
      <c r="G38" s="48" t="inlineStr">
        <is>
          <t>Gujarat (24)</t>
        </is>
      </c>
      <c r="H38" s="48" t="inlineStr">
        <is>
          <t>5%</t>
        </is>
      </c>
      <c r="I38" s="50" t="n">
        <v>640</v>
      </c>
      <c r="J38" s="50" t="n">
        <v>640</v>
      </c>
      <c r="K38" s="50" t="n">
        <v>32</v>
      </c>
      <c r="L38" s="50" t="n">
        <v>16</v>
      </c>
      <c r="M38" s="50" t="n">
        <v>16</v>
      </c>
      <c r="N38" s="50" t="n">
        <v>32</v>
      </c>
      <c r="O38" s="50" t="n">
        <v>0</v>
      </c>
      <c r="P38" s="50" t="n">
        <v>0.64</v>
      </c>
      <c r="Q38" s="50" t="n">
        <v>433.18</v>
      </c>
      <c r="R38" s="51" t="inlineStr"/>
    </row>
    <row r="39">
      <c r="A39" s="48" t="inlineStr">
        <is>
          <t>06–12 Sep 2026</t>
        </is>
      </c>
      <c r="B39" s="48" t="inlineStr">
        <is>
          <t>248109499150589</t>
        </is>
      </c>
      <c r="C39" s="49" t="n">
        <v>46276.86688657408</v>
      </c>
      <c r="D39" s="48" t="inlineStr">
        <is>
          <t>delivered</t>
        </is>
      </c>
      <c r="E39" s="48" t="n"/>
      <c r="F39" s="48" t="inlineStr">
        <is>
          <t>24AAQFC3084Q1ZT</t>
        </is>
      </c>
      <c r="G39" s="48" t="inlineStr">
        <is>
          <t>Gujarat (24)</t>
        </is>
      </c>
      <c r="H39" s="48" t="inlineStr">
        <is>
          <t>5%</t>
        </is>
      </c>
      <c r="I39" s="50" t="n">
        <v>1050</v>
      </c>
      <c r="J39" s="50" t="n">
        <v>1050</v>
      </c>
      <c r="K39" s="50" t="n">
        <v>52.5</v>
      </c>
      <c r="L39" s="50" t="n">
        <v>26.25</v>
      </c>
      <c r="M39" s="50" t="n">
        <v>26.25</v>
      </c>
      <c r="N39" s="50" t="n">
        <v>52.5</v>
      </c>
      <c r="O39" s="50" t="n">
        <v>0</v>
      </c>
      <c r="P39" s="50" t="n">
        <v>1.05</v>
      </c>
      <c r="Q39" s="50" t="n">
        <v>710.7</v>
      </c>
      <c r="R39" s="51" t="inlineStr"/>
    </row>
    <row r="40">
      <c r="A40" s="48" t="inlineStr">
        <is>
          <t>06–12 Sep 2026</t>
        </is>
      </c>
      <c r="B40" s="48" t="inlineStr">
        <is>
          <t>248184520120825</t>
        </is>
      </c>
      <c r="C40" s="49" t="n">
        <v>46277.73518518519</v>
      </c>
      <c r="D40" s="48" t="inlineStr">
        <is>
          <t>delivered</t>
        </is>
      </c>
      <c r="E40" s="48" t="n"/>
      <c r="F40" s="48" t="inlineStr">
        <is>
          <t>24AAQFC3084Q1ZT</t>
        </is>
      </c>
      <c r="G40" s="48" t="inlineStr">
        <is>
          <t>Gujarat (24)</t>
        </is>
      </c>
      <c r="H40" s="48" t="inlineStr">
        <is>
          <t>5%</t>
        </is>
      </c>
      <c r="I40" s="50" t="n">
        <v>670</v>
      </c>
      <c r="J40" s="50" t="n">
        <v>670</v>
      </c>
      <c r="K40" s="50" t="n">
        <v>33.5</v>
      </c>
      <c r="L40" s="50" t="n">
        <v>16.75</v>
      </c>
      <c r="M40" s="50" t="n">
        <v>16.75</v>
      </c>
      <c r="N40" s="50" t="n">
        <v>33.5</v>
      </c>
      <c r="O40" s="50" t="n">
        <v>0</v>
      </c>
      <c r="P40" s="50" t="n">
        <v>0.67</v>
      </c>
      <c r="Q40" s="50" t="n">
        <v>453.5</v>
      </c>
      <c r="R40" s="51" t="inlineStr"/>
    </row>
    <row r="41">
      <c r="A41" s="48" t="inlineStr">
        <is>
          <t>06–12 Sep 2026</t>
        </is>
      </c>
      <c r="B41" s="48" t="inlineStr">
        <is>
          <t>248196767175780</t>
        </is>
      </c>
      <c r="C41" s="49" t="n">
        <v>46277.87693287037</v>
      </c>
      <c r="D41" s="48" t="inlineStr">
        <is>
          <t>delivered</t>
        </is>
      </c>
      <c r="E41" s="48" t="n"/>
      <c r="F41" s="48" t="inlineStr">
        <is>
          <t>24AAQFC3084Q1ZT</t>
        </is>
      </c>
      <c r="G41" s="48" t="inlineStr">
        <is>
          <t>Gujarat (24)</t>
        </is>
      </c>
      <c r="H41" s="48" t="inlineStr">
        <is>
          <t>5%</t>
        </is>
      </c>
      <c r="I41" s="50" t="n">
        <v>330</v>
      </c>
      <c r="J41" s="50" t="n">
        <v>330</v>
      </c>
      <c r="K41" s="50" t="n">
        <v>16.5</v>
      </c>
      <c r="L41" s="50" t="n">
        <v>8.25</v>
      </c>
      <c r="M41" s="50" t="n">
        <v>8.25</v>
      </c>
      <c r="N41" s="50" t="n">
        <v>16.5</v>
      </c>
      <c r="O41" s="50" t="n">
        <v>0</v>
      </c>
      <c r="P41" s="50" t="n">
        <v>0.33</v>
      </c>
      <c r="Q41" s="50" t="n">
        <v>223.36</v>
      </c>
      <c r="R41" s="51" t="inlineStr"/>
    </row>
    <row r="42">
      <c r="A42" s="48" t="inlineStr">
        <is>
          <t>06–12 Sep 2026</t>
        </is>
      </c>
      <c r="B42" s="48" t="inlineStr">
        <is>
          <t>248196819172071</t>
        </is>
      </c>
      <c r="C42" s="49" t="n">
        <v>46277.87753472223</v>
      </c>
      <c r="D42" s="48" t="inlineStr">
        <is>
          <t>delivered</t>
        </is>
      </c>
      <c r="E42" s="48" t="n"/>
      <c r="F42" s="48" t="inlineStr">
        <is>
          <t>24AAQFC3084Q1ZT</t>
        </is>
      </c>
      <c r="G42" s="48" t="inlineStr">
        <is>
          <t>Gujarat (24)</t>
        </is>
      </c>
      <c r="H42" s="48" t="inlineStr">
        <is>
          <t>5%</t>
        </is>
      </c>
      <c r="I42" s="50" t="n">
        <v>675</v>
      </c>
      <c r="J42" s="50" t="n">
        <v>675</v>
      </c>
      <c r="K42" s="50" t="n">
        <v>33.76</v>
      </c>
      <c r="L42" s="50" t="n">
        <v>16.88</v>
      </c>
      <c r="M42" s="50" t="n">
        <v>16.87</v>
      </c>
      <c r="N42" s="50" t="n">
        <v>33.75</v>
      </c>
      <c r="O42" s="50" t="n">
        <v>0</v>
      </c>
      <c r="P42" s="50" t="n">
        <v>0.68</v>
      </c>
      <c r="Q42" s="50" t="n">
        <v>456.88</v>
      </c>
      <c r="R42" s="51" t="inlineStr"/>
    </row>
    <row r="43">
      <c r="A43" s="48" t="inlineStr">
        <is>
          <t>06–12 Sep 2026</t>
        </is>
      </c>
      <c r="B43" s="48" t="inlineStr">
        <is>
          <t>248197785173622</t>
        </is>
      </c>
      <c r="C43" s="49" t="n">
        <v>46277.88871527778</v>
      </c>
      <c r="D43" s="48" t="inlineStr">
        <is>
          <t>delivered</t>
        </is>
      </c>
      <c r="E43" s="48" t="n"/>
      <c r="F43" s="48" t="inlineStr">
        <is>
          <t>24AAQFC3084Q1ZT</t>
        </is>
      </c>
      <c r="G43" s="48" t="inlineStr">
        <is>
          <t>Gujarat (24)</t>
        </is>
      </c>
      <c r="H43" s="48" t="inlineStr">
        <is>
          <t>5%</t>
        </is>
      </c>
      <c r="I43" s="50" t="n">
        <v>670</v>
      </c>
      <c r="J43" s="50" t="n">
        <v>670</v>
      </c>
      <c r="K43" s="50" t="n">
        <v>33.5</v>
      </c>
      <c r="L43" s="50" t="n">
        <v>16.75</v>
      </c>
      <c r="M43" s="50" t="n">
        <v>16.75</v>
      </c>
      <c r="N43" s="50" t="n">
        <v>33.5</v>
      </c>
      <c r="O43" s="50" t="n">
        <v>0</v>
      </c>
      <c r="P43" s="50" t="n">
        <v>0.67</v>
      </c>
      <c r="Q43" s="50" t="n">
        <v>453.5</v>
      </c>
      <c r="R43" s="51" t="inlineStr"/>
    </row>
    <row r="44">
      <c r="A44" s="48" t="inlineStr">
        <is>
          <t>06–12 Sep 2026</t>
        </is>
      </c>
      <c r="B44" s="48" t="inlineStr">
        <is>
          <t>248200181104846</t>
        </is>
      </c>
      <c r="C44" s="49" t="n">
        <v>46277.91644675926</v>
      </c>
      <c r="D44" s="48" t="inlineStr">
        <is>
          <t>delivered</t>
        </is>
      </c>
      <c r="E44" s="48" t="n"/>
      <c r="F44" s="48" t="inlineStr">
        <is>
          <t>24AAQFC3084Q1ZT</t>
        </is>
      </c>
      <c r="G44" s="48" t="inlineStr">
        <is>
          <t>Gujarat (24)</t>
        </is>
      </c>
      <c r="H44" s="48" t="inlineStr">
        <is>
          <t>5%</t>
        </is>
      </c>
      <c r="I44" s="50" t="n">
        <v>580</v>
      </c>
      <c r="J44" s="50" t="n">
        <v>580</v>
      </c>
      <c r="K44" s="50" t="n">
        <v>29</v>
      </c>
      <c r="L44" s="50" t="n">
        <v>14.5</v>
      </c>
      <c r="M44" s="50" t="n">
        <v>14.5</v>
      </c>
      <c r="N44" s="50" t="n">
        <v>29</v>
      </c>
      <c r="O44" s="50" t="n">
        <v>0</v>
      </c>
      <c r="P44" s="50" t="n">
        <v>0.58</v>
      </c>
      <c r="Q44" s="50" t="n">
        <v>392.58</v>
      </c>
      <c r="R44" s="51" t="inlineStr"/>
    </row>
    <row r="45">
      <c r="A45" s="44" t="inlineStr">
        <is>
          <t>06–12 Sep 2026</t>
        </is>
      </c>
      <c r="B45" s="44" t="inlineStr">
        <is>
          <t>248201907107833</t>
        </is>
      </c>
      <c r="C45" s="45" t="n">
        <v>46277.93642361111</v>
      </c>
      <c r="D45" s="44" t="inlineStr">
        <is>
          <t>cancelled</t>
        </is>
      </c>
      <c r="E45" s="44" t="inlineStr">
        <is>
          <t>MERCHANT</t>
        </is>
      </c>
      <c r="F45" s="44" t="inlineStr">
        <is>
          <t>24AAQFC3084Q1ZT</t>
        </is>
      </c>
      <c r="G45" s="44" t="inlineStr">
        <is>
          <t>Gujarat (24)</t>
        </is>
      </c>
      <c r="H45" s="44" t="inlineStr">
        <is>
          <t>5%</t>
        </is>
      </c>
      <c r="I45" s="46" t="n">
        <v>0</v>
      </c>
      <c r="J45" s="46" t="n">
        <v>0</v>
      </c>
      <c r="K45" s="46" t="n">
        <v>0</v>
      </c>
      <c r="L45" s="46" t="n">
        <v>0</v>
      </c>
      <c r="M45" s="46" t="n">
        <v>0</v>
      </c>
      <c r="N45" s="46" t="n">
        <v>0</v>
      </c>
      <c r="O45" s="46" t="n">
        <v>0</v>
      </c>
      <c r="P45" s="46" t="n">
        <v>0</v>
      </c>
      <c r="Q45" s="46" t="n">
        <v>-97.34999999999999</v>
      </c>
      <c r="R45" s="47" t="inlineStr">
        <is>
          <t>Cancelled by MERCHANT — GST retained is ₹0.00 lower than GST collected</t>
        </is>
      </c>
    </row>
    <row r="46">
      <c r="A46" s="40" t="inlineStr">
        <is>
          <t>13–19 Sep 2026</t>
        </is>
      </c>
      <c r="B46" s="40" t="inlineStr">
        <is>
          <t>248260178142219</t>
        </is>
      </c>
      <c r="C46" s="41" t="n">
        <v>46278.61085648148</v>
      </c>
      <c r="D46" s="40" t="inlineStr">
        <is>
          <t>delivered</t>
        </is>
      </c>
      <c r="E46" s="40" t="n"/>
      <c r="F46" s="40" t="inlineStr">
        <is>
          <t>24AAQFC3084Q1ZT</t>
        </is>
      </c>
      <c r="G46" s="40" t="inlineStr">
        <is>
          <t>Gujarat (24)</t>
        </is>
      </c>
      <c r="H46" s="40" t="inlineStr">
        <is>
          <t>5%</t>
        </is>
      </c>
      <c r="I46" s="42" t="n">
        <v>1340</v>
      </c>
      <c r="J46" s="42" t="n">
        <v>1340</v>
      </c>
      <c r="K46" s="42" t="n">
        <v>67</v>
      </c>
      <c r="L46" s="42" t="n">
        <v>33.5</v>
      </c>
      <c r="M46" s="42" t="n">
        <v>33.5</v>
      </c>
      <c r="N46" s="42" t="n">
        <v>67</v>
      </c>
      <c r="O46" s="42" t="n">
        <v>0</v>
      </c>
      <c r="P46" s="42" t="n">
        <v>1.34</v>
      </c>
      <c r="Q46" s="42" t="n">
        <v>906.98</v>
      </c>
      <c r="R46" s="43" t="inlineStr"/>
    </row>
    <row r="47">
      <c r="A47" s="40" t="inlineStr">
        <is>
          <t>13–19 Sep 2026</t>
        </is>
      </c>
      <c r="B47" s="40" t="inlineStr">
        <is>
          <t>248262656134014</t>
        </is>
      </c>
      <c r="C47" s="41" t="n">
        <v>46278.63953703704</v>
      </c>
      <c r="D47" s="40" t="inlineStr">
        <is>
          <t>delivered</t>
        </is>
      </c>
      <c r="E47" s="40" t="n"/>
      <c r="F47" s="40" t="inlineStr">
        <is>
          <t>24AAQFC3084Q1ZT</t>
        </is>
      </c>
      <c r="G47" s="40" t="inlineStr">
        <is>
          <t>Gujarat (24)</t>
        </is>
      </c>
      <c r="H47" s="40" t="inlineStr">
        <is>
          <t>5%</t>
        </is>
      </c>
      <c r="I47" s="42" t="n">
        <v>290</v>
      </c>
      <c r="J47" s="42" t="n">
        <v>290</v>
      </c>
      <c r="K47" s="42" t="n">
        <v>14.5</v>
      </c>
      <c r="L47" s="42" t="n">
        <v>7.25</v>
      </c>
      <c r="M47" s="42" t="n">
        <v>7.25</v>
      </c>
      <c r="N47" s="42" t="n">
        <v>14.5</v>
      </c>
      <c r="O47" s="42" t="n">
        <v>0</v>
      </c>
      <c r="P47" s="42" t="n">
        <v>0.29</v>
      </c>
      <c r="Q47" s="42" t="n">
        <v>196.3</v>
      </c>
      <c r="R47" s="43" t="inlineStr"/>
    </row>
    <row r="48">
      <c r="A48" s="40" t="inlineStr">
        <is>
          <t>13–19 Sep 2026</t>
        </is>
      </c>
      <c r="B48" s="40" t="inlineStr">
        <is>
          <t>248263303100870</t>
        </is>
      </c>
      <c r="C48" s="41" t="n">
        <v>46278.64702546296</v>
      </c>
      <c r="D48" s="40" t="inlineStr">
        <is>
          <t>delivered</t>
        </is>
      </c>
      <c r="E48" s="40" t="n"/>
      <c r="F48" s="40" t="inlineStr">
        <is>
          <t>24AAQFC3084Q1ZT</t>
        </is>
      </c>
      <c r="G48" s="40" t="inlineStr">
        <is>
          <t>Gujarat (24)</t>
        </is>
      </c>
      <c r="H48" s="40" t="inlineStr">
        <is>
          <t>5%</t>
        </is>
      </c>
      <c r="I48" s="42" t="n">
        <v>660</v>
      </c>
      <c r="J48" s="42" t="n">
        <v>660</v>
      </c>
      <c r="K48" s="42" t="n">
        <v>33</v>
      </c>
      <c r="L48" s="42" t="n">
        <v>16.5</v>
      </c>
      <c r="M48" s="42" t="n">
        <v>16.5</v>
      </c>
      <c r="N48" s="42" t="n">
        <v>33</v>
      </c>
      <c r="O48" s="42" t="n">
        <v>0</v>
      </c>
      <c r="P48" s="42" t="n">
        <v>0.66</v>
      </c>
      <c r="Q48" s="42" t="n">
        <v>446.74</v>
      </c>
      <c r="R48" s="43" t="inlineStr"/>
    </row>
    <row r="49">
      <c r="A49" s="40" t="inlineStr">
        <is>
          <t>13–19 Sep 2026</t>
        </is>
      </c>
      <c r="B49" s="40" t="inlineStr">
        <is>
          <t>248268799159884</t>
        </is>
      </c>
      <c r="C49" s="41" t="n">
        <v>46278.71063657408</v>
      </c>
      <c r="D49" s="40" t="inlineStr">
        <is>
          <t>delivered</t>
        </is>
      </c>
      <c r="E49" s="40" t="n"/>
      <c r="F49" s="40" t="inlineStr">
        <is>
          <t>24AAQFC3084Q1ZT</t>
        </is>
      </c>
      <c r="G49" s="40" t="inlineStr">
        <is>
          <t>Gujarat (24)</t>
        </is>
      </c>
      <c r="H49" s="40" t="inlineStr">
        <is>
          <t>5%</t>
        </is>
      </c>
      <c r="I49" s="42" t="n">
        <v>640</v>
      </c>
      <c r="J49" s="42" t="n">
        <v>640</v>
      </c>
      <c r="K49" s="42" t="n">
        <v>32</v>
      </c>
      <c r="L49" s="42" t="n">
        <v>16</v>
      </c>
      <c r="M49" s="42" t="n">
        <v>16</v>
      </c>
      <c r="N49" s="42" t="n">
        <v>32</v>
      </c>
      <c r="O49" s="42" t="n">
        <v>0</v>
      </c>
      <c r="P49" s="42" t="n">
        <v>0.64</v>
      </c>
      <c r="Q49" s="42" t="n">
        <v>433.18</v>
      </c>
      <c r="R49" s="43" t="inlineStr"/>
    </row>
    <row r="50">
      <c r="A50" s="40" t="inlineStr">
        <is>
          <t>13–19 Sep 2026</t>
        </is>
      </c>
      <c r="B50" s="40" t="inlineStr">
        <is>
          <t>248280969151114</t>
        </is>
      </c>
      <c r="C50" s="41" t="n">
        <v>46278.85149305555</v>
      </c>
      <c r="D50" s="40" t="inlineStr">
        <is>
          <t>delivered</t>
        </is>
      </c>
      <c r="E50" s="40" t="n"/>
      <c r="F50" s="40" t="inlineStr">
        <is>
          <t>24AAQFC3084Q1ZT</t>
        </is>
      </c>
      <c r="G50" s="40" t="inlineStr">
        <is>
          <t>Gujarat (24)</t>
        </is>
      </c>
      <c r="H50" s="40" t="inlineStr">
        <is>
          <t>5%</t>
        </is>
      </c>
      <c r="I50" s="42" t="n">
        <v>590</v>
      </c>
      <c r="J50" s="42" t="n">
        <v>590</v>
      </c>
      <c r="K50" s="42" t="n">
        <v>29.5</v>
      </c>
      <c r="L50" s="42" t="n">
        <v>14.75</v>
      </c>
      <c r="M50" s="42" t="n">
        <v>14.75</v>
      </c>
      <c r="N50" s="42" t="n">
        <v>29.5</v>
      </c>
      <c r="O50" s="42" t="n">
        <v>0</v>
      </c>
      <c r="P50" s="42" t="n">
        <v>0.59</v>
      </c>
      <c r="Q50" s="42" t="n">
        <v>399.36</v>
      </c>
      <c r="R50" s="43" t="inlineStr"/>
    </row>
    <row r="51">
      <c r="A51" s="40" t="inlineStr">
        <is>
          <t>13–19 Sep 2026</t>
        </is>
      </c>
      <c r="B51" s="40" t="inlineStr">
        <is>
          <t>248356394197101</t>
        </is>
      </c>
      <c r="C51" s="41" t="n">
        <v>46279.72446759259</v>
      </c>
      <c r="D51" s="40" t="inlineStr">
        <is>
          <t>delivered</t>
        </is>
      </c>
      <c r="E51" s="40" t="n"/>
      <c r="F51" s="40" t="inlineStr">
        <is>
          <t>24AAQFC3084Q1ZT</t>
        </is>
      </c>
      <c r="G51" s="40" t="inlineStr">
        <is>
          <t>Gujarat (24)</t>
        </is>
      </c>
      <c r="H51" s="40" t="inlineStr">
        <is>
          <t>5%</t>
        </is>
      </c>
      <c r="I51" s="42" t="n">
        <v>330</v>
      </c>
      <c r="J51" s="42" t="n">
        <v>330</v>
      </c>
      <c r="K51" s="42" t="n">
        <v>16.5</v>
      </c>
      <c r="L51" s="42" t="n">
        <v>8.25</v>
      </c>
      <c r="M51" s="42" t="n">
        <v>8.25</v>
      </c>
      <c r="N51" s="42" t="n">
        <v>16.5</v>
      </c>
      <c r="O51" s="42" t="n">
        <v>0</v>
      </c>
      <c r="P51" s="42" t="n">
        <v>0.33</v>
      </c>
      <c r="Q51" s="42" t="n">
        <v>223.36</v>
      </c>
      <c r="R51" s="43" t="inlineStr"/>
    </row>
    <row r="52">
      <c r="A52" s="40" t="inlineStr">
        <is>
          <t>13–19 Sep 2026</t>
        </is>
      </c>
      <c r="B52" s="40" t="inlineStr">
        <is>
          <t>248445403194190</t>
        </is>
      </c>
      <c r="C52" s="41" t="n">
        <v>46280.75466435185</v>
      </c>
      <c r="D52" s="40" t="inlineStr">
        <is>
          <t>delivered</t>
        </is>
      </c>
      <c r="E52" s="40" t="n"/>
      <c r="F52" s="40" t="inlineStr">
        <is>
          <t>24AAQFC3084Q1ZT</t>
        </is>
      </c>
      <c r="G52" s="40" t="inlineStr">
        <is>
          <t>Gujarat (24)</t>
        </is>
      </c>
      <c r="H52" s="40" t="inlineStr">
        <is>
          <t>5%</t>
        </is>
      </c>
      <c r="I52" s="42" t="n">
        <v>330</v>
      </c>
      <c r="J52" s="42" t="n">
        <v>330</v>
      </c>
      <c r="K52" s="42" t="n">
        <v>16.5</v>
      </c>
      <c r="L52" s="42" t="n">
        <v>8.25</v>
      </c>
      <c r="M52" s="42" t="n">
        <v>8.25</v>
      </c>
      <c r="N52" s="42" t="n">
        <v>16.5</v>
      </c>
      <c r="O52" s="42" t="n">
        <v>0</v>
      </c>
      <c r="P52" s="42" t="n">
        <v>0.33</v>
      </c>
      <c r="Q52" s="42" t="n">
        <v>223.36</v>
      </c>
      <c r="R52" s="43" t="inlineStr"/>
    </row>
    <row r="53">
      <c r="A53" s="40" t="inlineStr">
        <is>
          <t>13–19 Sep 2026</t>
        </is>
      </c>
      <c r="B53" s="40" t="inlineStr">
        <is>
          <t>248518186136241</t>
        </is>
      </c>
      <c r="C53" s="41" t="n">
        <v>46281.59706018519</v>
      </c>
      <c r="D53" s="40" t="inlineStr">
        <is>
          <t>delivered</t>
        </is>
      </c>
      <c r="E53" s="40" t="n"/>
      <c r="F53" s="40" t="inlineStr">
        <is>
          <t>24AAQFC3084Q1ZT</t>
        </is>
      </c>
      <c r="G53" s="40" t="inlineStr">
        <is>
          <t>Gujarat (24)</t>
        </is>
      </c>
      <c r="H53" s="40" t="inlineStr">
        <is>
          <t>5%</t>
        </is>
      </c>
      <c r="I53" s="42" t="n">
        <v>660</v>
      </c>
      <c r="J53" s="42" t="n">
        <v>660</v>
      </c>
      <c r="K53" s="42" t="n">
        <v>33</v>
      </c>
      <c r="L53" s="42" t="n">
        <v>16.5</v>
      </c>
      <c r="M53" s="42" t="n">
        <v>16.5</v>
      </c>
      <c r="N53" s="42" t="n">
        <v>33</v>
      </c>
      <c r="O53" s="42" t="n">
        <v>0</v>
      </c>
      <c r="P53" s="42" t="n">
        <v>0.66</v>
      </c>
      <c r="Q53" s="42" t="n">
        <v>446.74</v>
      </c>
      <c r="R53" s="43" t="inlineStr"/>
    </row>
    <row r="54">
      <c r="A54" s="40" t="inlineStr">
        <is>
          <t>13–19 Sep 2026</t>
        </is>
      </c>
      <c r="B54" s="40" t="inlineStr">
        <is>
          <t>248525259151529</t>
        </is>
      </c>
      <c r="C54" s="41" t="n">
        <v>46281.67892361111</v>
      </c>
      <c r="D54" s="40" t="inlineStr">
        <is>
          <t>delivered</t>
        </is>
      </c>
      <c r="E54" s="40" t="n"/>
      <c r="F54" s="40" t="inlineStr">
        <is>
          <t>24AAQFC3084Q1ZT</t>
        </is>
      </c>
      <c r="G54" s="40" t="inlineStr">
        <is>
          <t>Gujarat (24)</t>
        </is>
      </c>
      <c r="H54" s="40" t="inlineStr">
        <is>
          <t>5%</t>
        </is>
      </c>
      <c r="I54" s="42" t="n">
        <v>555</v>
      </c>
      <c r="J54" s="42" t="n">
        <v>555</v>
      </c>
      <c r="K54" s="42" t="n">
        <v>27.76</v>
      </c>
      <c r="L54" s="42" t="n">
        <v>13.88</v>
      </c>
      <c r="M54" s="42" t="n">
        <v>13.87</v>
      </c>
      <c r="N54" s="42" t="n">
        <v>27.75</v>
      </c>
      <c r="O54" s="42" t="n">
        <v>0</v>
      </c>
      <c r="P54" s="42" t="n">
        <v>0.5600000000000001</v>
      </c>
      <c r="Q54" s="42" t="n">
        <v>375.66</v>
      </c>
      <c r="R54" s="43" t="inlineStr"/>
    </row>
    <row r="55">
      <c r="A55" s="40" t="inlineStr">
        <is>
          <t>13–19 Sep 2026</t>
        </is>
      </c>
      <c r="B55" s="40" t="inlineStr">
        <is>
          <t>248526510193508</t>
        </is>
      </c>
      <c r="C55" s="41" t="n">
        <v>46281.69340277778</v>
      </c>
      <c r="D55" s="40" t="inlineStr">
        <is>
          <t>delivered</t>
        </is>
      </c>
      <c r="E55" s="40" t="n"/>
      <c r="F55" s="40" t="inlineStr">
        <is>
          <t>24AAQFC3084Q1ZT</t>
        </is>
      </c>
      <c r="G55" s="40" t="inlineStr">
        <is>
          <t>Gujarat (24)</t>
        </is>
      </c>
      <c r="H55" s="40" t="inlineStr">
        <is>
          <t>5%</t>
        </is>
      </c>
      <c r="I55" s="42" t="n">
        <v>660</v>
      </c>
      <c r="J55" s="42" t="n">
        <v>660</v>
      </c>
      <c r="K55" s="42" t="n">
        <v>33</v>
      </c>
      <c r="L55" s="42" t="n">
        <v>16.5</v>
      </c>
      <c r="M55" s="42" t="n">
        <v>16.5</v>
      </c>
      <c r="N55" s="42" t="n">
        <v>33</v>
      </c>
      <c r="O55" s="42" t="n">
        <v>0</v>
      </c>
      <c r="P55" s="42" t="n">
        <v>0.66</v>
      </c>
      <c r="Q55" s="42" t="n">
        <v>446.74</v>
      </c>
      <c r="R55" s="43" t="inlineStr"/>
    </row>
    <row r="56">
      <c r="A56" s="40" t="inlineStr">
        <is>
          <t>13–19 Sep 2026</t>
        </is>
      </c>
      <c r="B56" s="40" t="inlineStr">
        <is>
          <t>248538163189592</t>
        </is>
      </c>
      <c r="C56" s="41" t="n">
        <v>46281.82827546296</v>
      </c>
      <c r="D56" s="40" t="inlineStr">
        <is>
          <t>delivered</t>
        </is>
      </c>
      <c r="E56" s="40" t="n"/>
      <c r="F56" s="40" t="inlineStr">
        <is>
          <t>24AAQFC3084Q1ZT</t>
        </is>
      </c>
      <c r="G56" s="40" t="inlineStr">
        <is>
          <t>Gujarat (24)</t>
        </is>
      </c>
      <c r="H56" s="40" t="inlineStr">
        <is>
          <t>5%</t>
        </is>
      </c>
      <c r="I56" s="42" t="n">
        <v>430</v>
      </c>
      <c r="J56" s="42" t="n">
        <v>430</v>
      </c>
      <c r="K56" s="42" t="n">
        <v>21.5</v>
      </c>
      <c r="L56" s="42" t="n">
        <v>10.75</v>
      </c>
      <c r="M56" s="42" t="n">
        <v>10.75</v>
      </c>
      <c r="N56" s="42" t="n">
        <v>21.5</v>
      </c>
      <c r="O56" s="42" t="n">
        <v>0</v>
      </c>
      <c r="P56" s="42" t="n">
        <v>0.43</v>
      </c>
      <c r="Q56" s="42" t="n">
        <v>291.06</v>
      </c>
      <c r="R56" s="43" t="inlineStr"/>
    </row>
    <row r="57">
      <c r="A57" s="40" t="inlineStr">
        <is>
          <t>13–19 Sep 2026</t>
        </is>
      </c>
      <c r="B57" s="40" t="inlineStr">
        <is>
          <t>248629650186468</t>
        </is>
      </c>
      <c r="C57" s="41" t="n">
        <v>46282.88715277778</v>
      </c>
      <c r="D57" s="40" t="inlineStr">
        <is>
          <t>delivered</t>
        </is>
      </c>
      <c r="E57" s="40" t="n"/>
      <c r="F57" s="40" t="inlineStr">
        <is>
          <t>24AAQFC3084Q1ZT</t>
        </is>
      </c>
      <c r="G57" s="40" t="inlineStr">
        <is>
          <t>Gujarat (24)</t>
        </is>
      </c>
      <c r="H57" s="40" t="inlineStr">
        <is>
          <t>5%</t>
        </is>
      </c>
      <c r="I57" s="42" t="n">
        <v>310</v>
      </c>
      <c r="J57" s="42" t="n">
        <v>310</v>
      </c>
      <c r="K57" s="42" t="n">
        <v>15.5</v>
      </c>
      <c r="L57" s="42" t="n">
        <v>7.75</v>
      </c>
      <c r="M57" s="42" t="n">
        <v>7.75</v>
      </c>
      <c r="N57" s="42" t="n">
        <v>15.5</v>
      </c>
      <c r="O57" s="42" t="n">
        <v>0</v>
      </c>
      <c r="P57" s="42" t="n">
        <v>0.31</v>
      </c>
      <c r="Q57" s="42" t="n">
        <v>209.84</v>
      </c>
      <c r="R57" s="43" t="inlineStr"/>
    </row>
    <row r="58">
      <c r="A58" s="40" t="inlineStr">
        <is>
          <t>13–19 Sep 2026</t>
        </is>
      </c>
      <c r="B58" s="40" t="inlineStr">
        <is>
          <t>248681770129849</t>
        </is>
      </c>
      <c r="C58" s="41" t="n">
        <v>46283.49039351852</v>
      </c>
      <c r="D58" s="40" t="inlineStr">
        <is>
          <t>delivered</t>
        </is>
      </c>
      <c r="E58" s="40" t="n"/>
      <c r="F58" s="40" t="inlineStr">
        <is>
          <t>24AAQFC3084Q1ZT</t>
        </is>
      </c>
      <c r="G58" s="40" t="inlineStr">
        <is>
          <t>Gujarat (24)</t>
        </is>
      </c>
      <c r="H58" s="40" t="inlineStr">
        <is>
          <t>5%</t>
        </is>
      </c>
      <c r="I58" s="42" t="n">
        <v>290</v>
      </c>
      <c r="J58" s="42" t="n">
        <v>290</v>
      </c>
      <c r="K58" s="42" t="n">
        <v>14.5</v>
      </c>
      <c r="L58" s="42" t="n">
        <v>7.25</v>
      </c>
      <c r="M58" s="42" t="n">
        <v>7.25</v>
      </c>
      <c r="N58" s="42" t="n">
        <v>14.5</v>
      </c>
      <c r="O58" s="42" t="n">
        <v>0</v>
      </c>
      <c r="P58" s="42" t="n">
        <v>0.29</v>
      </c>
      <c r="Q58" s="42" t="n">
        <v>196.3</v>
      </c>
      <c r="R58" s="43" t="inlineStr"/>
    </row>
    <row r="59">
      <c r="A59" s="40" t="inlineStr">
        <is>
          <t>13–19 Sep 2026</t>
        </is>
      </c>
      <c r="B59" s="40" t="inlineStr">
        <is>
          <t>248684221124498</t>
        </is>
      </c>
      <c r="C59" s="41" t="n">
        <v>46283.51876157407</v>
      </c>
      <c r="D59" s="40" t="inlineStr">
        <is>
          <t>delivered</t>
        </is>
      </c>
      <c r="E59" s="40" t="n"/>
      <c r="F59" s="40" t="inlineStr">
        <is>
          <t>24AAQFC3084Q1ZT</t>
        </is>
      </c>
      <c r="G59" s="40" t="inlineStr">
        <is>
          <t>Gujarat (24)</t>
        </is>
      </c>
      <c r="H59" s="40" t="inlineStr">
        <is>
          <t>5%</t>
        </is>
      </c>
      <c r="I59" s="42" t="n">
        <v>640</v>
      </c>
      <c r="J59" s="42" t="n">
        <v>640</v>
      </c>
      <c r="K59" s="42" t="n">
        <v>32</v>
      </c>
      <c r="L59" s="42" t="n">
        <v>16</v>
      </c>
      <c r="M59" s="42" t="n">
        <v>16</v>
      </c>
      <c r="N59" s="42" t="n">
        <v>32</v>
      </c>
      <c r="O59" s="42" t="n">
        <v>0</v>
      </c>
      <c r="P59" s="42" t="n">
        <v>0.64</v>
      </c>
      <c r="Q59" s="42" t="n">
        <v>433.18</v>
      </c>
      <c r="R59" s="43" t="inlineStr"/>
    </row>
    <row r="60">
      <c r="A60" s="40" t="inlineStr">
        <is>
          <t>13–19 Sep 2026</t>
        </is>
      </c>
      <c r="B60" s="40" t="inlineStr">
        <is>
          <t>248698648181774</t>
        </is>
      </c>
      <c r="C60" s="41" t="n">
        <v>46283.68574074074</v>
      </c>
      <c r="D60" s="40" t="inlineStr">
        <is>
          <t>delivered</t>
        </is>
      </c>
      <c r="E60" s="40" t="n"/>
      <c r="F60" s="40" t="inlineStr">
        <is>
          <t>24AAQFC3084Q1ZT</t>
        </is>
      </c>
      <c r="G60" s="40" t="inlineStr">
        <is>
          <t>Gujarat (24)</t>
        </is>
      </c>
      <c r="H60" s="40" t="inlineStr">
        <is>
          <t>5%</t>
        </is>
      </c>
      <c r="I60" s="42" t="n">
        <v>430</v>
      </c>
      <c r="J60" s="42" t="n">
        <v>430</v>
      </c>
      <c r="K60" s="42" t="n">
        <v>21.5</v>
      </c>
      <c r="L60" s="42" t="n">
        <v>10.75</v>
      </c>
      <c r="M60" s="42" t="n">
        <v>10.75</v>
      </c>
      <c r="N60" s="42" t="n">
        <v>21.5</v>
      </c>
      <c r="O60" s="42" t="n">
        <v>0</v>
      </c>
      <c r="P60" s="42" t="n">
        <v>0.43</v>
      </c>
      <c r="Q60" s="42" t="n">
        <v>291.06</v>
      </c>
      <c r="R60" s="43" t="inlineStr"/>
    </row>
    <row r="61">
      <c r="A61" s="40" t="inlineStr">
        <is>
          <t>13–19 Sep 2026</t>
        </is>
      </c>
      <c r="B61" s="40" t="inlineStr">
        <is>
          <t>248715391192676</t>
        </is>
      </c>
      <c r="C61" s="41" t="n">
        <v>46283.87952546297</v>
      </c>
      <c r="D61" s="40" t="inlineStr">
        <is>
          <t>delivered</t>
        </is>
      </c>
      <c r="E61" s="40" t="n"/>
      <c r="F61" s="40" t="inlineStr">
        <is>
          <t>24AAQFC3084Q1ZT</t>
        </is>
      </c>
      <c r="G61" s="40" t="inlineStr">
        <is>
          <t>Gujarat (24)</t>
        </is>
      </c>
      <c r="H61" s="40" t="inlineStr">
        <is>
          <t>5%</t>
        </is>
      </c>
      <c r="I61" s="42" t="n">
        <v>630</v>
      </c>
      <c r="J61" s="42" t="n">
        <v>630</v>
      </c>
      <c r="K61" s="42" t="n">
        <v>31.5</v>
      </c>
      <c r="L61" s="42" t="n">
        <v>15.75</v>
      </c>
      <c r="M61" s="42" t="n">
        <v>15.75</v>
      </c>
      <c r="N61" s="42" t="n">
        <v>31.5</v>
      </c>
      <c r="O61" s="42" t="n">
        <v>0</v>
      </c>
      <c r="P61" s="42" t="n">
        <v>0.63</v>
      </c>
      <c r="Q61" s="42" t="n">
        <v>426.42</v>
      </c>
      <c r="R61" s="43" t="inlineStr"/>
    </row>
    <row r="62">
      <c r="A62" s="40" t="inlineStr">
        <is>
          <t>13–19 Sep 2026</t>
        </is>
      </c>
      <c r="B62" s="40" t="inlineStr">
        <is>
          <t>248717469111214</t>
        </is>
      </c>
      <c r="C62" s="41" t="n">
        <v>46283.90357638889</v>
      </c>
      <c r="D62" s="40" t="inlineStr">
        <is>
          <t>delivered</t>
        </is>
      </c>
      <c r="E62" s="40" t="n"/>
      <c r="F62" s="40" t="inlineStr">
        <is>
          <t>24AAQFC3084Q1ZT</t>
        </is>
      </c>
      <c r="G62" s="40" t="inlineStr">
        <is>
          <t>Gujarat (24)</t>
        </is>
      </c>
      <c r="H62" s="40" t="inlineStr">
        <is>
          <t>5%</t>
        </is>
      </c>
      <c r="I62" s="42" t="n">
        <v>290</v>
      </c>
      <c r="J62" s="42" t="n">
        <v>290</v>
      </c>
      <c r="K62" s="42" t="n">
        <v>14.5</v>
      </c>
      <c r="L62" s="42" t="n">
        <v>7.25</v>
      </c>
      <c r="M62" s="42" t="n">
        <v>7.25</v>
      </c>
      <c r="N62" s="42" t="n">
        <v>14.5</v>
      </c>
      <c r="O62" s="42" t="n">
        <v>0</v>
      </c>
      <c r="P62" s="42" t="n">
        <v>0.29</v>
      </c>
      <c r="Q62" s="42" t="n">
        <v>196.3</v>
      </c>
      <c r="R62" s="43" t="inlineStr"/>
    </row>
    <row r="63">
      <c r="A63" s="40" t="inlineStr">
        <is>
          <t>13–19 Sep 2026</t>
        </is>
      </c>
      <c r="B63" s="40" t="inlineStr">
        <is>
          <t>248717658101051</t>
        </is>
      </c>
      <c r="C63" s="41" t="n">
        <v>46283.90576388889</v>
      </c>
      <c r="D63" s="40" t="inlineStr">
        <is>
          <t>delivered</t>
        </is>
      </c>
      <c r="E63" s="40" t="n"/>
      <c r="F63" s="40" t="inlineStr">
        <is>
          <t>24AAQFC3084Q1ZT</t>
        </is>
      </c>
      <c r="G63" s="40" t="inlineStr">
        <is>
          <t>Gujarat (24)</t>
        </is>
      </c>
      <c r="H63" s="40" t="inlineStr">
        <is>
          <t>5%</t>
        </is>
      </c>
      <c r="I63" s="42" t="n">
        <v>890</v>
      </c>
      <c r="J63" s="42" t="n">
        <v>890</v>
      </c>
      <c r="K63" s="42" t="n">
        <v>44.5</v>
      </c>
      <c r="L63" s="42" t="n">
        <v>22.25</v>
      </c>
      <c r="M63" s="42" t="n">
        <v>22.25</v>
      </c>
      <c r="N63" s="42" t="n">
        <v>44.5</v>
      </c>
      <c r="O63" s="42" t="n">
        <v>0</v>
      </c>
      <c r="P63" s="42" t="n">
        <v>0.89</v>
      </c>
      <c r="Q63" s="42" t="n">
        <v>602.42</v>
      </c>
      <c r="R63" s="43" t="inlineStr"/>
    </row>
    <row r="64">
      <c r="A64" s="40" t="inlineStr">
        <is>
          <t>13–19 Sep 2026</t>
        </is>
      </c>
      <c r="B64" s="40" t="inlineStr">
        <is>
          <t>248718244158516</t>
        </is>
      </c>
      <c r="C64" s="41" t="n">
        <v>46283.9125462963</v>
      </c>
      <c r="D64" s="40" t="inlineStr">
        <is>
          <t>delivered</t>
        </is>
      </c>
      <c r="E64" s="40" t="n"/>
      <c r="F64" s="40" t="inlineStr">
        <is>
          <t>24AAQFC3084Q1ZT</t>
        </is>
      </c>
      <c r="G64" s="40" t="inlineStr">
        <is>
          <t>Gujarat (24)</t>
        </is>
      </c>
      <c r="H64" s="40" t="inlineStr">
        <is>
          <t>5%</t>
        </is>
      </c>
      <c r="I64" s="42" t="n">
        <v>290</v>
      </c>
      <c r="J64" s="42" t="n">
        <v>290</v>
      </c>
      <c r="K64" s="42" t="n">
        <v>14.5</v>
      </c>
      <c r="L64" s="42" t="n">
        <v>7.25</v>
      </c>
      <c r="M64" s="42" t="n">
        <v>7.25</v>
      </c>
      <c r="N64" s="42" t="n">
        <v>14.5</v>
      </c>
      <c r="O64" s="42" t="n">
        <v>0</v>
      </c>
      <c r="P64" s="42" t="n">
        <v>0.29</v>
      </c>
      <c r="Q64" s="42" t="n">
        <v>196.3</v>
      </c>
      <c r="R64" s="43" t="inlineStr"/>
    </row>
    <row r="65">
      <c r="A65" s="44" t="inlineStr">
        <is>
          <t>13–19 Sep 2026</t>
        </is>
      </c>
      <c r="B65" s="44" t="inlineStr">
        <is>
          <t>248773805195420</t>
        </is>
      </c>
      <c r="C65" s="45" t="n">
        <v>46284.55561342592</v>
      </c>
      <c r="D65" s="44" t="inlineStr">
        <is>
          <t>cancelled</t>
        </is>
      </c>
      <c r="E65" s="44" t="inlineStr">
        <is>
          <t>MERCHANT</t>
        </is>
      </c>
      <c r="F65" s="44" t="inlineStr">
        <is>
          <t>24AAQFC3084Q1ZT</t>
        </is>
      </c>
      <c r="G65" s="44" t="inlineStr">
        <is>
          <t>Gujarat (24)</t>
        </is>
      </c>
      <c r="H65" s="44" t="inlineStr">
        <is>
          <t>5%</t>
        </is>
      </c>
      <c r="I65" s="46" t="n">
        <v>0</v>
      </c>
      <c r="J65" s="46" t="n">
        <v>0</v>
      </c>
      <c r="K65" s="46" t="n">
        <v>0</v>
      </c>
      <c r="L65" s="46" t="n">
        <v>0</v>
      </c>
      <c r="M65" s="46" t="n">
        <v>0</v>
      </c>
      <c r="N65" s="46" t="n">
        <v>0</v>
      </c>
      <c r="O65" s="46" t="n">
        <v>0</v>
      </c>
      <c r="P65" s="46" t="n">
        <v>0</v>
      </c>
      <c r="Q65" s="46" t="n">
        <v>-297.65</v>
      </c>
      <c r="R65" s="47" t="inlineStr">
        <is>
          <t>Cancelled by MERCHANT — GST retained is ₹0.00 lower than GST collected</t>
        </is>
      </c>
    </row>
    <row r="66">
      <c r="A66" s="40" t="inlineStr">
        <is>
          <t>13–19 Sep 2026</t>
        </is>
      </c>
      <c r="B66" s="40" t="inlineStr">
        <is>
          <t>248776341134179</t>
        </is>
      </c>
      <c r="C66" s="41" t="n">
        <v>46284.58496527778</v>
      </c>
      <c r="D66" s="40" t="inlineStr">
        <is>
          <t>delivered</t>
        </is>
      </c>
      <c r="E66" s="40" t="n"/>
      <c r="F66" s="40" t="inlineStr">
        <is>
          <t>24AAQFC3084Q1ZT</t>
        </is>
      </c>
      <c r="G66" s="40" t="inlineStr">
        <is>
          <t>Gujarat (24)</t>
        </is>
      </c>
      <c r="H66" s="40" t="inlineStr">
        <is>
          <t>5%</t>
        </is>
      </c>
      <c r="I66" s="42" t="n">
        <v>330</v>
      </c>
      <c r="J66" s="42" t="n">
        <v>330</v>
      </c>
      <c r="K66" s="42" t="n">
        <v>16.5</v>
      </c>
      <c r="L66" s="42" t="n">
        <v>8.25</v>
      </c>
      <c r="M66" s="42" t="n">
        <v>8.25</v>
      </c>
      <c r="N66" s="42" t="n">
        <v>16.5</v>
      </c>
      <c r="O66" s="42" t="n">
        <v>0</v>
      </c>
      <c r="P66" s="42" t="n">
        <v>0.33</v>
      </c>
      <c r="Q66" s="42" t="n">
        <v>223.36</v>
      </c>
      <c r="R66" s="43" t="inlineStr"/>
    </row>
    <row r="67">
      <c r="A67" s="40" t="inlineStr">
        <is>
          <t>13–19 Sep 2026</t>
        </is>
      </c>
      <c r="B67" s="40" t="inlineStr">
        <is>
          <t>248797791123341</t>
        </is>
      </c>
      <c r="C67" s="41" t="n">
        <v>46284.83322916667</v>
      </c>
      <c r="D67" s="40" t="inlineStr">
        <is>
          <t>delivered</t>
        </is>
      </c>
      <c r="E67" s="40" t="n"/>
      <c r="F67" s="40" t="inlineStr">
        <is>
          <t>24AAQFC3084Q1ZT</t>
        </is>
      </c>
      <c r="G67" s="40" t="inlineStr">
        <is>
          <t>Gujarat (24)</t>
        </is>
      </c>
      <c r="H67" s="40" t="inlineStr">
        <is>
          <t>5%</t>
        </is>
      </c>
      <c r="I67" s="42" t="n">
        <v>585</v>
      </c>
      <c r="J67" s="42" t="n">
        <v>585</v>
      </c>
      <c r="K67" s="42" t="n">
        <v>29.26</v>
      </c>
      <c r="L67" s="42" t="n">
        <v>14.62</v>
      </c>
      <c r="M67" s="42" t="n">
        <v>14.63</v>
      </c>
      <c r="N67" s="42" t="n">
        <v>29.25</v>
      </c>
      <c r="O67" s="42" t="n">
        <v>0</v>
      </c>
      <c r="P67" s="42" t="n">
        <v>0.58</v>
      </c>
      <c r="Q67" s="42" t="n">
        <v>395.96</v>
      </c>
      <c r="R67" s="43" t="inlineStr"/>
    </row>
    <row r="68">
      <c r="A68" s="40" t="inlineStr">
        <is>
          <t>13–19 Sep 2026</t>
        </is>
      </c>
      <c r="B68" s="40" t="inlineStr">
        <is>
          <t>248801525170229</t>
        </is>
      </c>
      <c r="C68" s="41" t="n">
        <v>46284.87644675926</v>
      </c>
      <c r="D68" s="40" t="inlineStr">
        <is>
          <t>delivered</t>
        </is>
      </c>
      <c r="E68" s="40" t="n"/>
      <c r="F68" s="40" t="inlineStr">
        <is>
          <t>24AAQFC3084Q1ZT</t>
        </is>
      </c>
      <c r="G68" s="40" t="inlineStr">
        <is>
          <t>Gujarat (24)</t>
        </is>
      </c>
      <c r="H68" s="40" t="inlineStr">
        <is>
          <t>5%</t>
        </is>
      </c>
      <c r="I68" s="42" t="n">
        <v>625</v>
      </c>
      <c r="J68" s="42" t="n">
        <v>625</v>
      </c>
      <c r="K68" s="42" t="n">
        <v>31.26</v>
      </c>
      <c r="L68" s="42" t="n">
        <v>15.62</v>
      </c>
      <c r="M68" s="42" t="n">
        <v>15.63</v>
      </c>
      <c r="N68" s="42" t="n">
        <v>31.25</v>
      </c>
      <c r="O68" s="42" t="n">
        <v>0</v>
      </c>
      <c r="P68" s="42" t="n">
        <v>0.62</v>
      </c>
      <c r="Q68" s="42" t="n">
        <v>423.05</v>
      </c>
      <c r="R68" s="43" t="inlineStr"/>
    </row>
    <row r="69">
      <c r="A69" s="40" t="inlineStr">
        <is>
          <t>13–19 Sep 2026</t>
        </is>
      </c>
      <c r="B69" s="40" t="inlineStr">
        <is>
          <t>248802229189963</t>
        </is>
      </c>
      <c r="C69" s="41" t="n">
        <v>46284.88459490741</v>
      </c>
      <c r="D69" s="40" t="inlineStr">
        <is>
          <t>delivered</t>
        </is>
      </c>
      <c r="E69" s="40" t="n"/>
      <c r="F69" s="40" t="inlineStr">
        <is>
          <t>24AAQFC3084Q1ZT</t>
        </is>
      </c>
      <c r="G69" s="40" t="inlineStr">
        <is>
          <t>Gujarat (24)</t>
        </is>
      </c>
      <c r="H69" s="40" t="inlineStr">
        <is>
          <t>5%</t>
        </is>
      </c>
      <c r="I69" s="42" t="n">
        <v>750</v>
      </c>
      <c r="J69" s="42" t="n">
        <v>750</v>
      </c>
      <c r="K69" s="42" t="n">
        <v>37.5</v>
      </c>
      <c r="L69" s="42" t="n">
        <v>18.75</v>
      </c>
      <c r="M69" s="42" t="n">
        <v>18.75</v>
      </c>
      <c r="N69" s="42" t="n">
        <v>37.5</v>
      </c>
      <c r="O69" s="42" t="n">
        <v>0</v>
      </c>
      <c r="P69" s="42" t="n">
        <v>0.75</v>
      </c>
      <c r="Q69" s="42" t="n">
        <v>507.65</v>
      </c>
      <c r="R69" s="43" t="inlineStr"/>
    </row>
    <row r="70">
      <c r="A70" s="48" t="inlineStr">
        <is>
          <t>20–26 Sep 2026</t>
        </is>
      </c>
      <c r="B70" s="48" t="inlineStr">
        <is>
          <t>248888271168778</t>
        </is>
      </c>
      <c r="C70" s="49" t="n">
        <v>46285.88045138889</v>
      </c>
      <c r="D70" s="48" t="inlineStr">
        <is>
          <t>delivered</t>
        </is>
      </c>
      <c r="E70" s="48" t="n"/>
      <c r="F70" s="48" t="inlineStr">
        <is>
          <t>24AAQFC3084Q1ZT</t>
        </is>
      </c>
      <c r="G70" s="48" t="inlineStr">
        <is>
          <t>Gujarat (24)</t>
        </is>
      </c>
      <c r="H70" s="48" t="inlineStr">
        <is>
          <t>5%</t>
        </is>
      </c>
      <c r="I70" s="50" t="n">
        <v>330</v>
      </c>
      <c r="J70" s="50" t="n">
        <v>330</v>
      </c>
      <c r="K70" s="50" t="n">
        <v>16.5</v>
      </c>
      <c r="L70" s="50" t="n">
        <v>8.25</v>
      </c>
      <c r="M70" s="50" t="n">
        <v>8.25</v>
      </c>
      <c r="N70" s="50" t="n">
        <v>16.5</v>
      </c>
      <c r="O70" s="50" t="n">
        <v>0</v>
      </c>
      <c r="P70" s="50" t="n">
        <v>0.33</v>
      </c>
      <c r="Q70" s="50" t="n">
        <v>223.36</v>
      </c>
      <c r="R70" s="51" t="inlineStr"/>
    </row>
    <row r="71">
      <c r="A71" s="48" t="inlineStr">
        <is>
          <t>20–26 Sep 2026</t>
        </is>
      </c>
      <c r="B71" s="48" t="inlineStr">
        <is>
          <t>248892001168783</t>
        </is>
      </c>
      <c r="C71" s="49" t="n">
        <v>46285.92362268519</v>
      </c>
      <c r="D71" s="48" t="inlineStr">
        <is>
          <t>delivered</t>
        </is>
      </c>
      <c r="E71" s="48" t="n"/>
      <c r="F71" s="48" t="inlineStr">
        <is>
          <t>24AAQFC3084Q1ZT</t>
        </is>
      </c>
      <c r="G71" s="48" t="inlineStr">
        <is>
          <t>Gujarat (24)</t>
        </is>
      </c>
      <c r="H71" s="48" t="inlineStr">
        <is>
          <t>5%</t>
        </is>
      </c>
      <c r="I71" s="50" t="n">
        <v>330</v>
      </c>
      <c r="J71" s="50" t="n">
        <v>330</v>
      </c>
      <c r="K71" s="50" t="n">
        <v>16.5</v>
      </c>
      <c r="L71" s="50" t="n">
        <v>8.25</v>
      </c>
      <c r="M71" s="50" t="n">
        <v>8.25</v>
      </c>
      <c r="N71" s="50" t="n">
        <v>16.5</v>
      </c>
      <c r="O71" s="50" t="n">
        <v>0</v>
      </c>
      <c r="P71" s="50" t="n">
        <v>0.33</v>
      </c>
      <c r="Q71" s="50" t="n">
        <v>223.36</v>
      </c>
      <c r="R71" s="51" t="inlineStr"/>
    </row>
    <row r="72">
      <c r="A72" s="48" t="inlineStr">
        <is>
          <t>20–26 Sep 2026</t>
        </is>
      </c>
      <c r="B72" s="48" t="inlineStr">
        <is>
          <t>249058005161777</t>
        </is>
      </c>
      <c r="C72" s="49" t="n">
        <v>46287.84496527778</v>
      </c>
      <c r="D72" s="48" t="inlineStr">
        <is>
          <t>delivered</t>
        </is>
      </c>
      <c r="E72" s="48" t="n"/>
      <c r="F72" s="48" t="inlineStr">
        <is>
          <t>24AAQFC3084Q1ZT</t>
        </is>
      </c>
      <c r="G72" s="48" t="inlineStr">
        <is>
          <t>Gujarat (24)</t>
        </is>
      </c>
      <c r="H72" s="48" t="inlineStr">
        <is>
          <t>5%</t>
        </is>
      </c>
      <c r="I72" s="50" t="n">
        <v>920</v>
      </c>
      <c r="J72" s="50" t="n">
        <v>920</v>
      </c>
      <c r="K72" s="50" t="n">
        <v>46</v>
      </c>
      <c r="L72" s="50" t="n">
        <v>23</v>
      </c>
      <c r="M72" s="50" t="n">
        <v>23</v>
      </c>
      <c r="N72" s="50" t="n">
        <v>46</v>
      </c>
      <c r="O72" s="50" t="n">
        <v>0</v>
      </c>
      <c r="P72" s="50" t="n">
        <v>0.92</v>
      </c>
      <c r="Q72" s="50" t="n">
        <v>622.7</v>
      </c>
      <c r="R72" s="51" t="inlineStr"/>
    </row>
    <row r="73">
      <c r="A73" s="48" t="inlineStr">
        <is>
          <t>20–26 Sep 2026</t>
        </is>
      </c>
      <c r="B73" s="48" t="inlineStr">
        <is>
          <t>249062054177669</t>
        </is>
      </c>
      <c r="C73" s="49" t="n">
        <v>46287.8918287037</v>
      </c>
      <c r="D73" s="48" t="inlineStr">
        <is>
          <t>delivered</t>
        </is>
      </c>
      <c r="E73" s="48" t="n"/>
      <c r="F73" s="48" t="inlineStr">
        <is>
          <t>24AAQFC3084Q1ZT</t>
        </is>
      </c>
      <c r="G73" s="48" t="inlineStr">
        <is>
          <t>Gujarat (24)</t>
        </is>
      </c>
      <c r="H73" s="48" t="inlineStr">
        <is>
          <t>5%</t>
        </is>
      </c>
      <c r="I73" s="50" t="n">
        <v>913.33</v>
      </c>
      <c r="J73" s="50" t="n">
        <v>913.33</v>
      </c>
      <c r="K73" s="50" t="n">
        <v>45.66</v>
      </c>
      <c r="L73" s="50" t="n">
        <v>22.83</v>
      </c>
      <c r="M73" s="50" t="n">
        <v>22.84</v>
      </c>
      <c r="N73" s="50" t="n">
        <v>45.67</v>
      </c>
      <c r="O73" s="50" t="n">
        <v>0</v>
      </c>
      <c r="P73" s="50" t="n">
        <v>0.91</v>
      </c>
      <c r="Q73" s="50" t="n">
        <v>618.2</v>
      </c>
      <c r="R73" s="51" t="inlineStr"/>
    </row>
    <row r="74">
      <c r="A74" s="48" t="inlineStr">
        <is>
          <t>20–26 Sep 2026</t>
        </is>
      </c>
      <c r="B74" s="48" t="inlineStr">
        <is>
          <t>249120699174544</t>
        </is>
      </c>
      <c r="C74" s="49" t="n">
        <v>46288.57059027778</v>
      </c>
      <c r="D74" s="48" t="inlineStr">
        <is>
          <t>delivered</t>
        </is>
      </c>
      <c r="E74" s="48" t="n"/>
      <c r="F74" s="48" t="inlineStr">
        <is>
          <t>24AAQFC3084Q1ZT</t>
        </is>
      </c>
      <c r="G74" s="48" t="inlineStr">
        <is>
          <t>Gujarat (24)</t>
        </is>
      </c>
      <c r="H74" s="48" t="inlineStr">
        <is>
          <t>5%</t>
        </is>
      </c>
      <c r="I74" s="50" t="n">
        <v>330</v>
      </c>
      <c r="J74" s="50" t="n">
        <v>330</v>
      </c>
      <c r="K74" s="50" t="n">
        <v>16.5</v>
      </c>
      <c r="L74" s="50" t="n">
        <v>8.25</v>
      </c>
      <c r="M74" s="50" t="n">
        <v>8.25</v>
      </c>
      <c r="N74" s="50" t="n">
        <v>16.5</v>
      </c>
      <c r="O74" s="50" t="n">
        <v>0</v>
      </c>
      <c r="P74" s="50" t="n">
        <v>0.33</v>
      </c>
      <c r="Q74" s="50" t="n">
        <v>223.36</v>
      </c>
      <c r="R74" s="51" t="inlineStr"/>
    </row>
    <row r="75">
      <c r="A75" s="48" t="inlineStr">
        <is>
          <t>20–26 Sep 2026</t>
        </is>
      </c>
      <c r="B75" s="48" t="inlineStr">
        <is>
          <t>249222397172014</t>
        </is>
      </c>
      <c r="C75" s="49" t="n">
        <v>46289.74765046296</v>
      </c>
      <c r="D75" s="48" t="inlineStr">
        <is>
          <t>delivered</t>
        </is>
      </c>
      <c r="E75" s="48" t="n"/>
      <c r="F75" s="48" t="inlineStr">
        <is>
          <t>24AAQFC3084Q1ZT</t>
        </is>
      </c>
      <c r="G75" s="48" t="inlineStr">
        <is>
          <t>Gujarat (24)</t>
        </is>
      </c>
      <c r="H75" s="48" t="inlineStr">
        <is>
          <t>5%</t>
        </is>
      </c>
      <c r="I75" s="50" t="n">
        <v>300</v>
      </c>
      <c r="J75" s="50" t="n">
        <v>300</v>
      </c>
      <c r="K75" s="50" t="n">
        <v>15</v>
      </c>
      <c r="L75" s="50" t="n">
        <v>7.5</v>
      </c>
      <c r="M75" s="50" t="n">
        <v>7.5</v>
      </c>
      <c r="N75" s="50" t="n">
        <v>15</v>
      </c>
      <c r="O75" s="50" t="n">
        <v>0</v>
      </c>
      <c r="P75" s="50" t="n">
        <v>0.3</v>
      </c>
      <c r="Q75" s="50" t="n">
        <v>203.06</v>
      </c>
      <c r="R75" s="51" t="inlineStr"/>
    </row>
    <row r="76">
      <c r="A76" s="48" t="inlineStr">
        <is>
          <t>20–26 Sep 2026</t>
        </is>
      </c>
      <c r="B76" s="48" t="inlineStr">
        <is>
          <t>249233165144025</t>
        </is>
      </c>
      <c r="C76" s="49" t="n">
        <v>46289.87228009259</v>
      </c>
      <c r="D76" s="48" t="inlineStr">
        <is>
          <t>delivered</t>
        </is>
      </c>
      <c r="E76" s="48" t="n"/>
      <c r="F76" s="48" t="inlineStr">
        <is>
          <t>24AAQFC3084Q1ZT</t>
        </is>
      </c>
      <c r="G76" s="48" t="inlineStr">
        <is>
          <t>Gujarat (24)</t>
        </is>
      </c>
      <c r="H76" s="48" t="inlineStr">
        <is>
          <t>5%</t>
        </is>
      </c>
      <c r="I76" s="50" t="n">
        <v>420</v>
      </c>
      <c r="J76" s="50" t="n">
        <v>420</v>
      </c>
      <c r="K76" s="50" t="n">
        <v>21</v>
      </c>
      <c r="L76" s="50" t="n">
        <v>10.5</v>
      </c>
      <c r="M76" s="50" t="n">
        <v>10.5</v>
      </c>
      <c r="N76" s="50" t="n">
        <v>21</v>
      </c>
      <c r="O76" s="50" t="n">
        <v>0</v>
      </c>
      <c r="P76" s="50" t="n">
        <v>0.42</v>
      </c>
      <c r="Q76" s="50" t="n">
        <v>284.28</v>
      </c>
      <c r="R76" s="51" t="inlineStr"/>
    </row>
    <row r="77">
      <c r="A77" s="48" t="inlineStr">
        <is>
          <t>20–26 Sep 2026</t>
        </is>
      </c>
      <c r="B77" s="48" t="inlineStr">
        <is>
          <t>249407685169966</t>
        </is>
      </c>
      <c r="C77" s="49" t="n">
        <v>46291.8921875</v>
      </c>
      <c r="D77" s="48" t="inlineStr">
        <is>
          <t>delivered</t>
        </is>
      </c>
      <c r="E77" s="48" t="n"/>
      <c r="F77" s="48" t="inlineStr">
        <is>
          <t>24AAQFC3084Q1ZT</t>
        </is>
      </c>
      <c r="G77" s="48" t="inlineStr">
        <is>
          <t>Gujarat (24)</t>
        </is>
      </c>
      <c r="H77" s="48" t="inlineStr">
        <is>
          <t>5%</t>
        </is>
      </c>
      <c r="I77" s="50" t="n">
        <v>545</v>
      </c>
      <c r="J77" s="50" t="n">
        <v>545</v>
      </c>
      <c r="K77" s="50" t="n">
        <v>27.26</v>
      </c>
      <c r="L77" s="50" t="n">
        <v>13.62</v>
      </c>
      <c r="M77" s="50" t="n">
        <v>13.63</v>
      </c>
      <c r="N77" s="50" t="n">
        <v>27.25</v>
      </c>
      <c r="O77" s="50" t="n">
        <v>0</v>
      </c>
      <c r="P77" s="50" t="n">
        <v>0.55</v>
      </c>
      <c r="Q77" s="50" t="n">
        <v>368.89</v>
      </c>
      <c r="R77" s="51" t="inlineStr"/>
    </row>
    <row r="78">
      <c r="A78" s="48" t="inlineStr">
        <is>
          <t>20–26 Sep 2026</t>
        </is>
      </c>
      <c r="B78" s="48" t="inlineStr">
        <is>
          <t>249409054179105</t>
        </is>
      </c>
      <c r="C78" s="49" t="n">
        <v>46291.90803240741</v>
      </c>
      <c r="D78" s="48" t="inlineStr">
        <is>
          <t>delivered</t>
        </is>
      </c>
      <c r="E78" s="48" t="n"/>
      <c r="F78" s="48" t="inlineStr">
        <is>
          <t>24AAQFC3084Q1ZT</t>
        </is>
      </c>
      <c r="G78" s="48" t="inlineStr">
        <is>
          <t>Gujarat (24)</t>
        </is>
      </c>
      <c r="H78" s="48" t="inlineStr">
        <is>
          <t>5%</t>
        </is>
      </c>
      <c r="I78" s="50" t="n">
        <v>255</v>
      </c>
      <c r="J78" s="50" t="n">
        <v>255</v>
      </c>
      <c r="K78" s="50" t="n">
        <v>12.76</v>
      </c>
      <c r="L78" s="50" t="n">
        <v>6.38</v>
      </c>
      <c r="M78" s="50" t="n">
        <v>6.37</v>
      </c>
      <c r="N78" s="50" t="n">
        <v>12.75</v>
      </c>
      <c r="O78" s="50" t="n">
        <v>0</v>
      </c>
      <c r="P78" s="50" t="n">
        <v>0.26</v>
      </c>
      <c r="Q78" s="50" t="n">
        <v>172.6</v>
      </c>
      <c r="R78" s="51" t="inlineStr"/>
    </row>
    <row r="79">
      <c r="A79" s="48" t="inlineStr">
        <is>
          <t>20–26 Sep 2026</t>
        </is>
      </c>
      <c r="B79" s="48" t="inlineStr">
        <is>
          <t>249410761124158</t>
        </is>
      </c>
      <c r="C79" s="49" t="n">
        <v>46291.92778935185</v>
      </c>
      <c r="D79" s="48" t="inlineStr">
        <is>
          <t>delivered</t>
        </is>
      </c>
      <c r="E79" s="48" t="n"/>
      <c r="F79" s="48" t="inlineStr">
        <is>
          <t>24AAQFC3084Q1ZT</t>
        </is>
      </c>
      <c r="G79" s="48" t="inlineStr">
        <is>
          <t>Gujarat (24)</t>
        </is>
      </c>
      <c r="H79" s="48" t="inlineStr">
        <is>
          <t>5%</t>
        </is>
      </c>
      <c r="I79" s="50" t="n">
        <v>300</v>
      </c>
      <c r="J79" s="50" t="n">
        <v>300</v>
      </c>
      <c r="K79" s="50" t="n">
        <v>15</v>
      </c>
      <c r="L79" s="50" t="n">
        <v>7.5</v>
      </c>
      <c r="M79" s="50" t="n">
        <v>7.5</v>
      </c>
      <c r="N79" s="50" t="n">
        <v>15</v>
      </c>
      <c r="O79" s="50" t="n">
        <v>0</v>
      </c>
      <c r="P79" s="50" t="n">
        <v>0.3</v>
      </c>
      <c r="Q79" s="50" t="n">
        <v>203.06</v>
      </c>
      <c r="R79" s="51" t="inlineStr"/>
    </row>
    <row r="80">
      <c r="A80" s="40" t="inlineStr">
        <is>
          <t>27–30 Sep 2026</t>
        </is>
      </c>
      <c r="B80" s="40" t="inlineStr">
        <is>
          <t>249464790154167</t>
        </is>
      </c>
      <c r="C80" s="41" t="n">
        <v>46292.553125</v>
      </c>
      <c r="D80" s="40" t="inlineStr">
        <is>
          <t>delivered</t>
        </is>
      </c>
      <c r="E80" s="40" t="n"/>
      <c r="F80" s="40" t="inlineStr">
        <is>
          <t>24AAQFC3084Q1ZT</t>
        </is>
      </c>
      <c r="G80" s="40" t="inlineStr">
        <is>
          <t>Gujarat (24)</t>
        </is>
      </c>
      <c r="H80" s="40" t="inlineStr">
        <is>
          <t>5%</t>
        </is>
      </c>
      <c r="I80" s="42" t="n">
        <v>340</v>
      </c>
      <c r="J80" s="42" t="n">
        <v>340</v>
      </c>
      <c r="K80" s="42" t="n">
        <v>17</v>
      </c>
      <c r="L80" s="42" t="n">
        <v>8.5</v>
      </c>
      <c r="M80" s="42" t="n">
        <v>8.5</v>
      </c>
      <c r="N80" s="42" t="n">
        <v>17</v>
      </c>
      <c r="O80" s="42" t="n">
        <v>0</v>
      </c>
      <c r="P80" s="42" t="n">
        <v>0.34</v>
      </c>
      <c r="Q80" s="42" t="n">
        <v>230.12</v>
      </c>
      <c r="R80" s="43" t="inlineStr"/>
    </row>
    <row r="81">
      <c r="A81" s="40" t="inlineStr">
        <is>
          <t>27–30 Sep 2026</t>
        </is>
      </c>
      <c r="B81" s="40" t="inlineStr">
        <is>
          <t>249487817138971</t>
        </is>
      </c>
      <c r="C81" s="41" t="n">
        <v>46292.81964120371</v>
      </c>
      <c r="D81" s="40" t="inlineStr">
        <is>
          <t>delivered</t>
        </is>
      </c>
      <c r="E81" s="40" t="n"/>
      <c r="F81" s="40" t="inlineStr">
        <is>
          <t>24AAQFC3084Q1ZT</t>
        </is>
      </c>
      <c r="G81" s="40" t="inlineStr">
        <is>
          <t>Gujarat (24)</t>
        </is>
      </c>
      <c r="H81" s="40" t="inlineStr">
        <is>
          <t>5%</t>
        </is>
      </c>
      <c r="I81" s="42" t="n">
        <v>290</v>
      </c>
      <c r="J81" s="42" t="n">
        <v>290</v>
      </c>
      <c r="K81" s="42" t="n">
        <v>14.5</v>
      </c>
      <c r="L81" s="42" t="n">
        <v>7.25</v>
      </c>
      <c r="M81" s="42" t="n">
        <v>7.25</v>
      </c>
      <c r="N81" s="42" t="n">
        <v>14.5</v>
      </c>
      <c r="O81" s="42" t="n">
        <v>0</v>
      </c>
      <c r="P81" s="42" t="n">
        <v>0.29</v>
      </c>
      <c r="Q81" s="42" t="n">
        <v>196.3</v>
      </c>
      <c r="R81" s="43" t="inlineStr"/>
    </row>
    <row r="82">
      <c r="A82" s="40" t="inlineStr">
        <is>
          <t>27–30 Sep 2026</t>
        </is>
      </c>
      <c r="B82" s="40" t="inlineStr">
        <is>
          <t>249489781191429</t>
        </is>
      </c>
      <c r="C82" s="41" t="n">
        <v>46292.84237268518</v>
      </c>
      <c r="D82" s="40" t="inlineStr">
        <is>
          <t>delivered</t>
        </is>
      </c>
      <c r="E82" s="40" t="n"/>
      <c r="F82" s="40" t="inlineStr">
        <is>
          <t>24AAQFC3084Q1ZT</t>
        </is>
      </c>
      <c r="G82" s="40" t="inlineStr">
        <is>
          <t>Gujarat (24)</t>
        </is>
      </c>
      <c r="H82" s="40" t="inlineStr">
        <is>
          <t>5%</t>
        </is>
      </c>
      <c r="I82" s="42" t="n">
        <v>330</v>
      </c>
      <c r="J82" s="42" t="n">
        <v>330</v>
      </c>
      <c r="K82" s="42" t="n">
        <v>16.5</v>
      </c>
      <c r="L82" s="42" t="n">
        <v>8.25</v>
      </c>
      <c r="M82" s="42" t="n">
        <v>8.25</v>
      </c>
      <c r="N82" s="42" t="n">
        <v>16.5</v>
      </c>
      <c r="O82" s="42" t="n">
        <v>0</v>
      </c>
      <c r="P82" s="42" t="n">
        <v>0.33</v>
      </c>
      <c r="Q82" s="42" t="n">
        <v>223.36</v>
      </c>
      <c r="R82" s="43" t="inlineStr"/>
    </row>
    <row r="83">
      <c r="A83" s="40" t="inlineStr">
        <is>
          <t>27–30 Sep 2026</t>
        </is>
      </c>
      <c r="B83" s="40" t="inlineStr">
        <is>
          <t>249491279132686</t>
        </is>
      </c>
      <c r="C83" s="41" t="n">
        <v>46292.85971064815</v>
      </c>
      <c r="D83" s="40" t="inlineStr">
        <is>
          <t>delivered</t>
        </is>
      </c>
      <c r="E83" s="40" t="n"/>
      <c r="F83" s="40" t="inlineStr">
        <is>
          <t>24AAQFC3084Q1ZT</t>
        </is>
      </c>
      <c r="G83" s="40" t="inlineStr">
        <is>
          <t>Gujarat (24)</t>
        </is>
      </c>
      <c r="H83" s="40" t="inlineStr">
        <is>
          <t>5%</t>
        </is>
      </c>
      <c r="I83" s="42" t="n">
        <v>300</v>
      </c>
      <c r="J83" s="42" t="n">
        <v>300</v>
      </c>
      <c r="K83" s="42" t="n">
        <v>15</v>
      </c>
      <c r="L83" s="42" t="n">
        <v>7.5</v>
      </c>
      <c r="M83" s="42" t="n">
        <v>7.5</v>
      </c>
      <c r="N83" s="42" t="n">
        <v>15</v>
      </c>
      <c r="O83" s="42" t="n">
        <v>0</v>
      </c>
      <c r="P83" s="42" t="n">
        <v>0.3</v>
      </c>
      <c r="Q83" s="42" t="n">
        <v>203.06</v>
      </c>
      <c r="R83" s="43" t="inlineStr"/>
    </row>
    <row r="84">
      <c r="A84" s="40" t="inlineStr">
        <is>
          <t>27–30 Sep 2026</t>
        </is>
      </c>
      <c r="B84" s="40" t="inlineStr">
        <is>
          <t>249493538132133</t>
        </is>
      </c>
      <c r="C84" s="41" t="n">
        <v>46292.88585648148</v>
      </c>
      <c r="D84" s="40" t="inlineStr">
        <is>
          <t>delivered</t>
        </is>
      </c>
      <c r="E84" s="40" t="n"/>
      <c r="F84" s="40" t="inlineStr">
        <is>
          <t>24AAQFC3084Q1ZT</t>
        </is>
      </c>
      <c r="G84" s="40" t="inlineStr">
        <is>
          <t>Gujarat (24)</t>
        </is>
      </c>
      <c r="H84" s="40" t="inlineStr">
        <is>
          <t>5%</t>
        </is>
      </c>
      <c r="I84" s="42" t="n">
        <v>330</v>
      </c>
      <c r="J84" s="42" t="n">
        <v>330</v>
      </c>
      <c r="K84" s="42" t="n">
        <v>16.5</v>
      </c>
      <c r="L84" s="42" t="n">
        <v>8.25</v>
      </c>
      <c r="M84" s="42" t="n">
        <v>8.25</v>
      </c>
      <c r="N84" s="42" t="n">
        <v>16.5</v>
      </c>
      <c r="O84" s="42" t="n">
        <v>0</v>
      </c>
      <c r="P84" s="42" t="n">
        <v>0.33</v>
      </c>
      <c r="Q84" s="42" t="n">
        <v>223.36</v>
      </c>
      <c r="R84" s="43" t="inlineStr"/>
    </row>
    <row r="85">
      <c r="A85" s="40" t="inlineStr">
        <is>
          <t>27–30 Sep 2026</t>
        </is>
      </c>
      <c r="B85" s="40" t="inlineStr">
        <is>
          <t>249553401101522</t>
        </is>
      </c>
      <c r="C85" s="41" t="n">
        <v>46293.57871527778</v>
      </c>
      <c r="D85" s="40" t="inlineStr">
        <is>
          <t>delivered</t>
        </is>
      </c>
      <c r="E85" s="40" t="n"/>
      <c r="F85" s="40" t="inlineStr">
        <is>
          <t>24AAQFC3084Q1ZT</t>
        </is>
      </c>
      <c r="G85" s="40" t="inlineStr">
        <is>
          <t>Gujarat (24)</t>
        </is>
      </c>
      <c r="H85" s="40" t="inlineStr">
        <is>
          <t>5%</t>
        </is>
      </c>
      <c r="I85" s="42" t="n">
        <v>300</v>
      </c>
      <c r="J85" s="42" t="n">
        <v>300</v>
      </c>
      <c r="K85" s="42" t="n">
        <v>15</v>
      </c>
      <c r="L85" s="42" t="n">
        <v>7.5</v>
      </c>
      <c r="M85" s="42" t="n">
        <v>7.5</v>
      </c>
      <c r="N85" s="42" t="n">
        <v>15</v>
      </c>
      <c r="O85" s="42" t="n">
        <v>0</v>
      </c>
      <c r="P85" s="42" t="n">
        <v>0.3</v>
      </c>
      <c r="Q85" s="42" t="n">
        <v>203.06</v>
      </c>
      <c r="R85" s="43" t="inlineStr"/>
    </row>
    <row r="86">
      <c r="A86" s="40" t="inlineStr">
        <is>
          <t>27–30 Sep 2026</t>
        </is>
      </c>
      <c r="B86" s="40" t="inlineStr">
        <is>
          <t>249566142136874</t>
        </is>
      </c>
      <c r="C86" s="41" t="n">
        <v>46293.72618055555</v>
      </c>
      <c r="D86" s="40" t="inlineStr">
        <is>
          <t>delivered</t>
        </is>
      </c>
      <c r="E86" s="40" t="n"/>
      <c r="F86" s="40" t="inlineStr">
        <is>
          <t>24AAQFC3084Q1ZT</t>
        </is>
      </c>
      <c r="G86" s="40" t="inlineStr">
        <is>
          <t>Gujarat (24)</t>
        </is>
      </c>
      <c r="H86" s="40" t="inlineStr">
        <is>
          <t>5%</t>
        </is>
      </c>
      <c r="I86" s="42" t="n">
        <v>620</v>
      </c>
      <c r="J86" s="42" t="n">
        <v>620</v>
      </c>
      <c r="K86" s="42" t="n">
        <v>31</v>
      </c>
      <c r="L86" s="42" t="n">
        <v>15.5</v>
      </c>
      <c r="M86" s="42" t="n">
        <v>15.5</v>
      </c>
      <c r="N86" s="42" t="n">
        <v>31</v>
      </c>
      <c r="O86" s="42" t="n">
        <v>0</v>
      </c>
      <c r="P86" s="42" t="n">
        <v>0.62</v>
      </c>
      <c r="Q86" s="42" t="n">
        <v>419.64</v>
      </c>
      <c r="R86" s="43" t="inlineStr"/>
    </row>
    <row r="87">
      <c r="A87" s="40" t="inlineStr">
        <is>
          <t>27–30 Sep 2026</t>
        </is>
      </c>
      <c r="B87" s="40" t="inlineStr">
        <is>
          <t>249583865121752</t>
        </is>
      </c>
      <c r="C87" s="41" t="n">
        <v>46293.93130787037</v>
      </c>
      <c r="D87" s="40" t="inlineStr">
        <is>
          <t>delivered</t>
        </is>
      </c>
      <c r="E87" s="40" t="n"/>
      <c r="F87" s="40" t="inlineStr">
        <is>
          <t>24AAQFC3084Q1ZT</t>
        </is>
      </c>
      <c r="G87" s="40" t="inlineStr">
        <is>
          <t>Gujarat (24)</t>
        </is>
      </c>
      <c r="H87" s="40" t="inlineStr">
        <is>
          <t>5%</t>
        </is>
      </c>
      <c r="I87" s="42" t="n">
        <v>920</v>
      </c>
      <c r="J87" s="42" t="n">
        <v>920</v>
      </c>
      <c r="K87" s="42" t="n">
        <v>46</v>
      </c>
      <c r="L87" s="42" t="n">
        <v>23</v>
      </c>
      <c r="M87" s="42" t="n">
        <v>23</v>
      </c>
      <c r="N87" s="42" t="n">
        <v>46</v>
      </c>
      <c r="O87" s="42" t="n">
        <v>0</v>
      </c>
      <c r="P87" s="42" t="n">
        <v>0.92</v>
      </c>
      <c r="Q87" s="42" t="n">
        <v>622.7</v>
      </c>
      <c r="R87" s="43" t="inlineStr"/>
    </row>
    <row r="88">
      <c r="A88" s="40" t="inlineStr">
        <is>
          <t>27–30 Sep 2026</t>
        </is>
      </c>
      <c r="B88" s="40" t="inlineStr">
        <is>
          <t>249665438170534</t>
        </is>
      </c>
      <c r="C88" s="41" t="n">
        <v>46294.87543981482</v>
      </c>
      <c r="D88" s="40" t="inlineStr">
        <is>
          <t>delivered</t>
        </is>
      </c>
      <c r="E88" s="40" t="n"/>
      <c r="F88" s="40" t="inlineStr">
        <is>
          <t>24AAQFC3084Q1ZT</t>
        </is>
      </c>
      <c r="G88" s="40" t="inlineStr">
        <is>
          <t>Gujarat (24)</t>
        </is>
      </c>
      <c r="H88" s="40" t="inlineStr">
        <is>
          <t>5%</t>
        </is>
      </c>
      <c r="I88" s="42" t="n">
        <v>300</v>
      </c>
      <c r="J88" s="42" t="n">
        <v>300</v>
      </c>
      <c r="K88" s="42" t="n">
        <v>15</v>
      </c>
      <c r="L88" s="42" t="n">
        <v>7.5</v>
      </c>
      <c r="M88" s="42" t="n">
        <v>7.5</v>
      </c>
      <c r="N88" s="42" t="n">
        <v>15</v>
      </c>
      <c r="O88" s="42" t="n">
        <v>0</v>
      </c>
      <c r="P88" s="42" t="n">
        <v>0.3</v>
      </c>
      <c r="Q88" s="42" t="n">
        <v>203.06</v>
      </c>
      <c r="R88" s="43" t="inlineStr"/>
    </row>
    <row r="89">
      <c r="A89" s="40" t="inlineStr">
        <is>
          <t>27–30 Sep 2026</t>
        </is>
      </c>
      <c r="B89" s="40" t="inlineStr">
        <is>
          <t>249667322145978</t>
        </is>
      </c>
      <c r="C89" s="41" t="n">
        <v>46294.89724537037</v>
      </c>
      <c r="D89" s="40" t="inlineStr">
        <is>
          <t>delivered</t>
        </is>
      </c>
      <c r="E89" s="40" t="n"/>
      <c r="F89" s="40" t="inlineStr">
        <is>
          <t>24AAQFC3084Q1ZT</t>
        </is>
      </c>
      <c r="G89" s="40" t="inlineStr">
        <is>
          <t>Gujarat (24)</t>
        </is>
      </c>
      <c r="H89" s="40" t="inlineStr">
        <is>
          <t>5%</t>
        </is>
      </c>
      <c r="I89" s="42" t="n">
        <v>660</v>
      </c>
      <c r="J89" s="42" t="n">
        <v>660</v>
      </c>
      <c r="K89" s="42" t="n">
        <v>33</v>
      </c>
      <c r="L89" s="42" t="n">
        <v>16.5</v>
      </c>
      <c r="M89" s="42" t="n">
        <v>16.5</v>
      </c>
      <c r="N89" s="42" t="n">
        <v>33</v>
      </c>
      <c r="O89" s="42" t="n">
        <v>0</v>
      </c>
      <c r="P89" s="42" t="n">
        <v>0.66</v>
      </c>
      <c r="Q89" s="42" t="n">
        <v>446.74</v>
      </c>
      <c r="R89" s="43" t="inlineStr"/>
    </row>
    <row r="90">
      <c r="A90" s="40" t="inlineStr">
        <is>
          <t>27–30 Sep 2026</t>
        </is>
      </c>
      <c r="B90" s="40" t="inlineStr">
        <is>
          <t>249729665192217</t>
        </is>
      </c>
      <c r="C90" s="41" t="n">
        <v>46295.61880787037</v>
      </c>
      <c r="D90" s="40" t="inlineStr">
        <is>
          <t>delivered</t>
        </is>
      </c>
      <c r="E90" s="40" t="n"/>
      <c r="F90" s="40" t="inlineStr">
        <is>
          <t>24AAQFC3084Q1ZT</t>
        </is>
      </c>
      <c r="G90" s="40" t="inlineStr">
        <is>
          <t>Gujarat (24)</t>
        </is>
      </c>
      <c r="H90" s="40" t="inlineStr">
        <is>
          <t>5%</t>
        </is>
      </c>
      <c r="I90" s="42" t="n">
        <v>290</v>
      </c>
      <c r="J90" s="42" t="n">
        <v>290</v>
      </c>
      <c r="K90" s="42" t="n">
        <v>14.5</v>
      </c>
      <c r="L90" s="42" t="n">
        <v>7.25</v>
      </c>
      <c r="M90" s="42" t="n">
        <v>7.25</v>
      </c>
      <c r="N90" s="42" t="n">
        <v>14.5</v>
      </c>
      <c r="O90" s="42" t="n">
        <v>0</v>
      </c>
      <c r="P90" s="42" t="n">
        <v>0.29</v>
      </c>
      <c r="Q90" s="42" t="n">
        <v>196.3</v>
      </c>
      <c r="R90" s="43" t="inlineStr"/>
    </row>
    <row r="91">
      <c r="A91" s="40" t="inlineStr">
        <is>
          <t>27–30 Sep 2026</t>
        </is>
      </c>
      <c r="B91" s="40" t="inlineStr">
        <is>
          <t>249733078119585</t>
        </is>
      </c>
      <c r="C91" s="41" t="n">
        <v>46295.65831018519</v>
      </c>
      <c r="D91" s="40" t="inlineStr">
        <is>
          <t>delivered</t>
        </is>
      </c>
      <c r="E91" s="40" t="n"/>
      <c r="F91" s="40" t="inlineStr">
        <is>
          <t>24AAQFC3084Q1ZT</t>
        </is>
      </c>
      <c r="G91" s="40" t="inlineStr">
        <is>
          <t>Gujarat (24)</t>
        </is>
      </c>
      <c r="H91" s="40" t="inlineStr">
        <is>
          <t>5%</t>
        </is>
      </c>
      <c r="I91" s="42" t="n">
        <v>300</v>
      </c>
      <c r="J91" s="42" t="n">
        <v>300</v>
      </c>
      <c r="K91" s="42" t="n">
        <v>15</v>
      </c>
      <c r="L91" s="42" t="n">
        <v>7.5</v>
      </c>
      <c r="M91" s="42" t="n">
        <v>7.5</v>
      </c>
      <c r="N91" s="42" t="n">
        <v>15</v>
      </c>
      <c r="O91" s="42" t="n">
        <v>0</v>
      </c>
      <c r="P91" s="42" t="n">
        <v>0.3</v>
      </c>
      <c r="Q91" s="42" t="n">
        <v>203.06</v>
      </c>
      <c r="R91" s="43" t="inlineStr"/>
    </row>
    <row r="92">
      <c r="A92" s="40" t="inlineStr">
        <is>
          <t>27–30 Sep 2026</t>
        </is>
      </c>
      <c r="B92" s="40" t="inlineStr">
        <is>
          <t>249733887141161</t>
        </is>
      </c>
      <c r="C92" s="41" t="n">
        <v>46295.66767361111</v>
      </c>
      <c r="D92" s="40" t="inlineStr">
        <is>
          <t>delivered</t>
        </is>
      </c>
      <c r="E92" s="40" t="n"/>
      <c r="F92" s="40" t="inlineStr">
        <is>
          <t>24AAQFC3084Q1ZT</t>
        </is>
      </c>
      <c r="G92" s="40" t="inlineStr">
        <is>
          <t>Gujarat (24)</t>
        </is>
      </c>
      <c r="H92" s="40" t="inlineStr">
        <is>
          <t>5%</t>
        </is>
      </c>
      <c r="I92" s="42" t="n">
        <v>300</v>
      </c>
      <c r="J92" s="42" t="n">
        <v>300</v>
      </c>
      <c r="K92" s="42" t="n">
        <v>15</v>
      </c>
      <c r="L92" s="42" t="n">
        <v>7.5</v>
      </c>
      <c r="M92" s="42" t="n">
        <v>7.5</v>
      </c>
      <c r="N92" s="42" t="n">
        <v>15</v>
      </c>
      <c r="O92" s="42" t="n">
        <v>0</v>
      </c>
      <c r="P92" s="42" t="n">
        <v>0.3</v>
      </c>
      <c r="Q92" s="42" t="n">
        <v>203.06</v>
      </c>
      <c r="R92" s="43" t="inlineStr"/>
    </row>
    <row r="93">
      <c r="A93" s="40" t="inlineStr">
        <is>
          <t>27–30 Sep 2026</t>
        </is>
      </c>
      <c r="B93" s="40" t="inlineStr">
        <is>
          <t>249744551185853</t>
        </is>
      </c>
      <c r="C93" s="41" t="n">
        <v>46295.79109953704</v>
      </c>
      <c r="D93" s="40" t="inlineStr">
        <is>
          <t>delivered</t>
        </is>
      </c>
      <c r="E93" s="40" t="n"/>
      <c r="F93" s="40" t="inlineStr">
        <is>
          <t>24AAQFC3084Q1ZT</t>
        </is>
      </c>
      <c r="G93" s="40" t="inlineStr">
        <is>
          <t>Gujarat (24)</t>
        </is>
      </c>
      <c r="H93" s="40" t="inlineStr">
        <is>
          <t>5%</t>
        </is>
      </c>
      <c r="I93" s="42" t="n">
        <v>300</v>
      </c>
      <c r="J93" s="42" t="n">
        <v>300</v>
      </c>
      <c r="K93" s="42" t="n">
        <v>15</v>
      </c>
      <c r="L93" s="42" t="n">
        <v>7.5</v>
      </c>
      <c r="M93" s="42" t="n">
        <v>7.5</v>
      </c>
      <c r="N93" s="42" t="n">
        <v>15</v>
      </c>
      <c r="O93" s="42" t="n">
        <v>0</v>
      </c>
      <c r="P93" s="42" t="n">
        <v>0.3</v>
      </c>
      <c r="Q93" s="42" t="n">
        <v>203.06</v>
      </c>
      <c r="R93" s="43" t="inlineStr"/>
    </row>
    <row r="94">
      <c r="A94" s="40" t="inlineStr">
        <is>
          <t>27–30 Sep 2026</t>
        </is>
      </c>
      <c r="B94" s="40" t="inlineStr">
        <is>
          <t>249752189162624</t>
        </is>
      </c>
      <c r="C94" s="41" t="n">
        <v>46295.87950231481</v>
      </c>
      <c r="D94" s="40" t="inlineStr">
        <is>
          <t>delivered</t>
        </is>
      </c>
      <c r="E94" s="40" t="n"/>
      <c r="F94" s="40" t="inlineStr">
        <is>
          <t>24AAQFC3084Q1ZT</t>
        </is>
      </c>
      <c r="G94" s="40" t="inlineStr">
        <is>
          <t>Gujarat (24)</t>
        </is>
      </c>
      <c r="H94" s="40" t="inlineStr">
        <is>
          <t>5%</t>
        </is>
      </c>
      <c r="I94" s="42" t="n">
        <v>920</v>
      </c>
      <c r="J94" s="42" t="n">
        <v>920</v>
      </c>
      <c r="K94" s="42" t="n">
        <v>46</v>
      </c>
      <c r="L94" s="42" t="n">
        <v>23</v>
      </c>
      <c r="M94" s="42" t="n">
        <v>23</v>
      </c>
      <c r="N94" s="42" t="n">
        <v>46</v>
      </c>
      <c r="O94" s="42" t="n">
        <v>0</v>
      </c>
      <c r="P94" s="42" t="n">
        <v>0.92</v>
      </c>
      <c r="Q94" s="42" t="n">
        <v>622.7</v>
      </c>
      <c r="R94" s="43" t="inlineStr"/>
    </row>
    <row r="95">
      <c r="A95" s="40" t="inlineStr">
        <is>
          <t>27–30 Sep 2026</t>
        </is>
      </c>
      <c r="B95" s="40" t="inlineStr">
        <is>
          <t>249755730173167</t>
        </is>
      </c>
      <c r="C95" s="41" t="n">
        <v>46295.92048611111</v>
      </c>
      <c r="D95" s="40" t="inlineStr">
        <is>
          <t>delivered</t>
        </is>
      </c>
      <c r="E95" s="40" t="n"/>
      <c r="F95" s="40" t="inlineStr">
        <is>
          <t>24AAQFC3084Q1ZT</t>
        </is>
      </c>
      <c r="G95" s="40" t="inlineStr">
        <is>
          <t>Gujarat (24)</t>
        </is>
      </c>
      <c r="H95" s="40" t="inlineStr">
        <is>
          <t>5%</t>
        </is>
      </c>
      <c r="I95" s="42" t="n">
        <v>330</v>
      </c>
      <c r="J95" s="42" t="n">
        <v>330</v>
      </c>
      <c r="K95" s="42" t="n">
        <v>16.5</v>
      </c>
      <c r="L95" s="42" t="n">
        <v>8.25</v>
      </c>
      <c r="M95" s="42" t="n">
        <v>8.25</v>
      </c>
      <c r="N95" s="42" t="n">
        <v>16.5</v>
      </c>
      <c r="O95" s="42" t="n">
        <v>0</v>
      </c>
      <c r="P95" s="42" t="n">
        <v>0.33</v>
      </c>
      <c r="Q95" s="42" t="n">
        <v>223.36</v>
      </c>
      <c r="R95" s="43" t="inlineStr"/>
    </row>
    <row r="96">
      <c r="A96" s="40" t="inlineStr">
        <is>
          <t>27–30 Sep 2026</t>
        </is>
      </c>
      <c r="B96" s="40" t="inlineStr">
        <is>
          <t>249755918119523</t>
        </is>
      </c>
      <c r="C96" s="41" t="n">
        <v>46295.92266203704</v>
      </c>
      <c r="D96" s="40" t="inlineStr">
        <is>
          <t>delivered</t>
        </is>
      </c>
      <c r="E96" s="40" t="n"/>
      <c r="F96" s="40" t="inlineStr">
        <is>
          <t>24AAQFC3084Q1ZT</t>
        </is>
      </c>
      <c r="G96" s="40" t="inlineStr">
        <is>
          <t>Gujarat (24)</t>
        </is>
      </c>
      <c r="H96" s="40" t="inlineStr">
        <is>
          <t>5%</t>
        </is>
      </c>
      <c r="I96" s="42" t="n">
        <v>290</v>
      </c>
      <c r="J96" s="42" t="n">
        <v>290</v>
      </c>
      <c r="K96" s="42" t="n">
        <v>14.5</v>
      </c>
      <c r="L96" s="42" t="n">
        <v>7.25</v>
      </c>
      <c r="M96" s="42" t="n">
        <v>7.25</v>
      </c>
      <c r="N96" s="42" t="n">
        <v>14.5</v>
      </c>
      <c r="O96" s="42" t="n">
        <v>0</v>
      </c>
      <c r="P96" s="42" t="n">
        <v>0.29</v>
      </c>
      <c r="Q96" s="42" t="n">
        <v>196.3</v>
      </c>
      <c r="R96" s="43" t="inlineStr"/>
    </row>
    <row r="97">
      <c r="A97" s="17" t="inlineStr">
        <is>
          <t>TOTAL</t>
        </is>
      </c>
      <c r="B97" s="17" t="inlineStr"/>
      <c r="C97" s="17" t="inlineStr"/>
      <c r="D97" s="17" t="inlineStr"/>
      <c r="E97" s="17" t="inlineStr"/>
      <c r="F97" s="17" t="inlineStr"/>
      <c r="G97" s="17" t="inlineStr"/>
      <c r="H97" s="17" t="inlineStr"/>
      <c r="I97" s="18" t="n">
        <v>46236.33</v>
      </c>
      <c r="J97" s="18" t="n">
        <v>46118.33</v>
      </c>
      <c r="K97" s="18" t="n">
        <v>2311.94</v>
      </c>
      <c r="L97" s="18" t="n">
        <v>1152.96</v>
      </c>
      <c r="M97" s="18" t="n">
        <v>1152.96</v>
      </c>
      <c r="N97" s="18" t="n">
        <v>2305.92</v>
      </c>
      <c r="O97" s="18" t="n">
        <v>0</v>
      </c>
      <c r="P97" s="18" t="n">
        <v>46.14</v>
      </c>
      <c r="Q97" s="18" t="n">
        <v>30139.91</v>
      </c>
      <c r="R97" s="17" t="inlineStr"/>
    </row>
    <row r="99">
      <c r="A99" s="22" t="inlineStr">
        <is>
          <t>'Taxable value billed' = item total + packaging − restaurant-funded discounts (full value shown to the customer). 'GST-reportable value' is 80% of that for an order cancelled before pickup by the customer/Swiggy (compensation policy), and equal to the billed value otherwise. CGST/SGST is a 50:50 split of the tax on the reportable value. Cancelled-order rows are shaded amber.</t>
        </is>
      </c>
    </row>
  </sheetData>
  <autoFilter ref="A1:R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6" customWidth="1" min="1" max="1"/>
    <col width="62" customWidth="1" min="2" max="2"/>
    <col width="10" customWidth="1" min="3" max="3"/>
    <col width="10" customWidth="1" min="4" max="4"/>
    <col width="12" customWidth="1" min="5" max="5"/>
    <col width="11" customWidth="1" min="6" max="6"/>
  </cols>
  <sheetData>
    <row r="1">
      <c r="A1" s="8" t="inlineStr">
        <is>
          <t>Checks performed and points to confirm before filing</t>
        </is>
      </c>
    </row>
    <row r="2">
      <c r="A2" s="2" t="inlineStr">
        <is>
          <t>Tie-outs between this working and the Swiggy annexures</t>
        </is>
      </c>
    </row>
    <row r="3"/>
    <row r="4" ht="30" customHeight="1">
      <c r="A4" s="6" t="inlineStr">
        <is>
          <t>#</t>
        </is>
      </c>
      <c r="B4" s="6" t="inlineStr">
        <is>
          <t>Check</t>
        </is>
      </c>
      <c r="C4" s="6" t="inlineStr">
        <is>
          <t>Expected</t>
        </is>
      </c>
      <c r="D4" s="6" t="inlineStr">
        <is>
          <t>Actual</t>
        </is>
      </c>
      <c r="E4" s="6" t="inlineStr">
        <is>
          <t>Difference</t>
        </is>
      </c>
      <c r="F4" s="6" t="inlineStr">
        <is>
          <t>Status</t>
        </is>
      </c>
    </row>
    <row r="5">
      <c r="A5" s="40" t="n">
        <v>1</v>
      </c>
      <c r="B5" s="43" t="inlineStr">
        <is>
          <t>Taxable value agrees with the Order Level sheets</t>
        </is>
      </c>
      <c r="C5" s="42" t="n">
        <v>46236.33</v>
      </c>
      <c r="D5" s="42" t="n">
        <v>46236.33</v>
      </c>
      <c r="E5" s="42" t="n">
        <v>0</v>
      </c>
      <c r="F5" s="52" t="inlineStr">
        <is>
          <t>OK</t>
        </is>
      </c>
    </row>
    <row r="6">
      <c r="A6" s="40" t="n">
        <v>2</v>
      </c>
      <c r="B6" s="43" t="inlineStr">
        <is>
          <t>Cancellation adjustment = 20% of the compensated cancellation (₹590.00 × 20%)</t>
        </is>
      </c>
      <c r="C6" s="42" t="n">
        <v>118</v>
      </c>
      <c r="D6" s="42" t="n">
        <v>118</v>
      </c>
      <c r="E6" s="42" t="n">
        <v>0</v>
      </c>
      <c r="F6" s="52" t="inlineStr">
        <is>
          <t>OK</t>
        </is>
      </c>
    </row>
    <row r="7">
      <c r="A7" s="40" t="n">
        <v>3</v>
      </c>
      <c r="B7" s="43" t="inlineStr">
        <is>
          <t>Compensated-cancellation value = 80% of the order value (₹590.00 × 80%)</t>
        </is>
      </c>
      <c r="C7" s="42" t="n">
        <v>472</v>
      </c>
      <c r="D7" s="42" t="n">
        <v>472</v>
      </c>
      <c r="E7" s="42" t="n">
        <v>0</v>
      </c>
      <c r="F7" s="52" t="inlineStr">
        <is>
          <t>OK</t>
        </is>
      </c>
    </row>
    <row r="8">
      <c r="A8" s="40" t="n">
        <v>4</v>
      </c>
      <c r="B8" s="43" t="inlineStr">
        <is>
          <t>GST discharged = 5% of the compensation-adjusted reportable value</t>
        </is>
      </c>
      <c r="C8" s="42" t="n">
        <v>2305.92</v>
      </c>
      <c r="D8" s="42" t="n">
        <v>2305.92</v>
      </c>
      <c r="E8" s="42" t="n">
        <v>0</v>
      </c>
      <c r="F8" s="52" t="inlineStr">
        <is>
          <t>OK</t>
        </is>
      </c>
    </row>
    <row r="9">
      <c r="A9" s="40" t="n">
        <v>5</v>
      </c>
      <c r="B9" s="43" t="inlineStr">
        <is>
          <t>Delivered + cancelled taxable value = total taxable value</t>
        </is>
      </c>
      <c r="C9" s="42" t="n">
        <v>46236.33</v>
      </c>
      <c r="D9" s="42" t="n">
        <v>46236.33</v>
      </c>
      <c r="E9" s="42" t="n">
        <v>0</v>
      </c>
      <c r="F9" s="52" t="inlineStr">
        <is>
          <t>OK</t>
        </is>
      </c>
    </row>
    <row r="10">
      <c r="A10" s="40" t="n">
        <v>6</v>
      </c>
      <c r="B10" s="43" t="inlineStr">
        <is>
          <t>GST at 5% of the billed value (memo — tax effectively charged to customers)</t>
        </is>
      </c>
      <c r="C10" s="42" t="n">
        <v>2311.82</v>
      </c>
      <c r="D10" s="42" t="n">
        <v>2311.94</v>
      </c>
      <c r="E10" s="42" t="n">
        <v>0.12</v>
      </c>
      <c r="F10" s="52" t="inlineStr">
        <is>
          <t>OK</t>
        </is>
      </c>
    </row>
    <row r="11">
      <c r="A11" s="40" t="n">
        <v>7</v>
      </c>
      <c r="B11" s="43" t="inlineStr">
        <is>
          <t>CGST + SGST = tax on the reportable value</t>
        </is>
      </c>
      <c r="C11" s="42" t="n">
        <v>2305.92</v>
      </c>
      <c r="D11" s="42" t="n">
        <v>2305.92</v>
      </c>
      <c r="E11" s="42" t="n">
        <v>0</v>
      </c>
      <c r="F11" s="52" t="inlineStr">
        <is>
          <t>OK</t>
        </is>
      </c>
    </row>
    <row r="12">
      <c r="A12" s="40" t="n">
        <v>8</v>
      </c>
      <c r="B12" s="43" t="inlineStr">
        <is>
          <t>GST discharged by Swiggy = payout breakup line 18</t>
        </is>
      </c>
      <c r="C12" s="42" t="n">
        <v>2305.92</v>
      </c>
      <c r="D12" s="42" t="n">
        <v>2305.92</v>
      </c>
      <c r="E12" s="42" t="n">
        <v>0</v>
      </c>
      <c r="F12" s="52" t="inlineStr">
        <is>
          <t>OK</t>
        </is>
      </c>
    </row>
    <row r="13">
      <c r="A13" s="40" t="n">
        <v>9</v>
      </c>
      <c r="B13" s="43" t="inlineStr">
        <is>
          <t>Order count agrees with the annexures</t>
        </is>
      </c>
      <c r="C13" s="42" t="n">
        <v>95</v>
      </c>
      <c r="D13" s="42" t="n">
        <v>95</v>
      </c>
      <c r="E13" s="42" t="n">
        <v>0</v>
      </c>
      <c r="F13" s="52" t="inlineStr">
        <is>
          <t>OK</t>
        </is>
      </c>
    </row>
    <row r="14">
      <c r="A14" s="40" t="n">
        <v>10</v>
      </c>
      <c r="B14" s="43" t="inlineStr">
        <is>
          <t>TCS under Section 52 is nil</t>
        </is>
      </c>
      <c r="C14" s="42" t="n">
        <v>0</v>
      </c>
      <c r="D14" s="42" t="n">
        <v>0</v>
      </c>
      <c r="E14" s="42" t="n">
        <v>0</v>
      </c>
      <c r="F14" s="52" t="inlineStr">
        <is>
          <t>OK</t>
        </is>
      </c>
    </row>
    <row r="15">
      <c r="A15" s="40" t="n">
        <v>11</v>
      </c>
      <c r="B15" s="43" t="inlineStr">
        <is>
          <t>TDS under Section 194-O = 0.1% of the reportable value</t>
        </is>
      </c>
      <c r="C15" s="42" t="n">
        <v>46.12</v>
      </c>
      <c r="D15" s="42" t="n">
        <v>46.14</v>
      </c>
      <c r="E15" s="42" t="n">
        <v>0.02</v>
      </c>
      <c r="F15" s="52" t="inlineStr">
        <is>
          <t>OK</t>
        </is>
      </c>
    </row>
    <row r="16">
      <c r="A16" s="40" t="n">
        <v>12</v>
      </c>
      <c r="B16" s="43" t="inlineStr">
        <is>
          <t>Net payouts agree with the bank settlements</t>
        </is>
      </c>
      <c r="C16" s="42" t="n">
        <v>30139.91</v>
      </c>
      <c r="D16" s="42" t="n">
        <v>30139.91</v>
      </c>
      <c r="E16" s="42" t="n">
        <v>0</v>
      </c>
      <c r="F16" s="52" t="inlineStr">
        <is>
          <t>OK</t>
        </is>
      </c>
    </row>
    <row r="17">
      <c r="A17" s="40" t="n">
        <v>13</v>
      </c>
      <c r="B17" s="43" t="inlineStr">
        <is>
          <t>GST collected vs GST discharged — explained by the cancellation policy + rounding</t>
        </is>
      </c>
      <c r="C17" s="42" t="n">
        <v>0</v>
      </c>
      <c r="D17" s="42" t="n">
        <v>6.02</v>
      </c>
      <c r="E17" s="42" t="n">
        <v>6.02</v>
      </c>
      <c r="F17" s="53" t="inlineStr">
        <is>
          <t>EXPLAINED</t>
        </is>
      </c>
    </row>
    <row r="18"/>
    <row r="19">
      <c r="A19" s="5" t="inlineStr">
        <is>
          <t>Points to confirm with your CA before filing</t>
        </is>
      </c>
    </row>
    <row r="20" ht="30" customHeight="1">
      <c r="B20" s="4" t="inlineStr">
        <is>
          <t>•  Reporting view for Section 9(5) supplies: the working shows the full supply value in GSTR-1 Table 14 and GSTR-3B Table 3.1.1(ii) with nil tax payable by you. Confirm this is the treatment you file.</t>
        </is>
      </c>
    </row>
    <row r="21" ht="30" customHeight="1">
      <c r="B21" s="4" t="inlineStr">
        <is>
          <t>•  The annexures do not contain your direct (dine-in / takeaway / own-delivery) sales — add them from your POS to complete GSTR-1 Table 7 and GSTR-3B Table 3.1(a).</t>
        </is>
      </c>
    </row>
    <row r="22" ht="30" customHeight="1">
      <c r="B22" s="4" t="inlineStr">
        <is>
          <t>•  GST billed to customers exceeded the GST discharged by ₹6.02. This is fully explained: ₹5.90 is the cancellation-compensation policy (order 247576408124202 was cancelled before pickup and compensated at 80%, so tax was discharged on ₹472.00 rather than ₹590.00) and ₹0.12 is paise rounding. No credit note is required — confirm that the customer's invoice for that order is also adjusted, or keep this working as the explanation for the difference.</t>
        </is>
      </c>
    </row>
    <row r="23" ht="30" customHeight="1">
      <c r="B23" s="4" t="inlineStr">
        <is>
          <t>•  ITC of ₹-2,326.64 charged by Swiggy on its service fee is not claimable at the 5% restaurant rate; keep the annexures as evidence if the department asks why no ITC was taken.</t>
        </is>
      </c>
    </row>
    <row r="24" ht="30" customHeight="1">
      <c r="B24" s="4" t="inlineStr">
        <is>
          <t>•  TDS of ₹46.14 under Section 194-O must be reconciled with Form 26AS / AIS and claimed in the income-tax return.</t>
        </is>
      </c>
    </row>
    <row r="25" ht="30" customHeight="1">
      <c r="B25" s="4" t="inlineStr">
        <is>
          <t>•  Cess or state-specific levies on food delivery, if any, are not reflected in these annexures.</t>
        </is>
      </c>
    </row>
    <row r="26" ht="30" customHeight="1">
      <c r="B26" s="4" t="inlineStr">
        <is>
          <t>•  This is a data-preparation workbook, not tax advice — the treatment finally adopted is the responsibility of the taxpayer and their CA.</t>
        </is>
      </c>
    </row>
    <row r="28">
      <c r="A28" s="22" t="inlineStr">
        <is>
          <t>Source: Swiggy weekly payout annexures · Prepared 05 October 2026</t>
        </is>
      </c>
    </row>
  </sheetData>
  <mergeCells count="7">
    <mergeCell ref="B21:F21"/>
    <mergeCell ref="B24:F24"/>
    <mergeCell ref="B20:F20"/>
    <mergeCell ref="B25:F25"/>
    <mergeCell ref="B23:F23"/>
    <mergeCell ref="B22:F22"/>
    <mergeCell ref="B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2026-10-05T09:54:18Z</dcterms:created>
  <dcterms:modified xsi:type="dcterms:W3CDTF">2026-10-05T09:54:18Z</dcterms:modified>
</cp:coreProperties>
</file>